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nné LMZ SE_ENS\Donné LMZ\"/>
    </mc:Choice>
  </mc:AlternateContent>
  <bookViews>
    <workbookView xWindow="240" yWindow="75" windowWidth="15600" windowHeight="7935"/>
  </bookViews>
  <sheets>
    <sheet name="Situation élèves " sheetId="1" r:id="rId1"/>
    <sheet name="Effectif personnels " sheetId="2" r:id="rId2"/>
    <sheet name="Feuil3" sheetId="3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M217" i="1" l="1"/>
  <c r="B227" i="1"/>
  <c r="Q227" i="1"/>
  <c r="P227" i="1"/>
  <c r="O227" i="1"/>
  <c r="N227" i="1"/>
  <c r="L227" i="1"/>
  <c r="K227" i="1"/>
  <c r="J227" i="1"/>
  <c r="I227" i="1"/>
  <c r="H227" i="1"/>
  <c r="G227" i="1"/>
  <c r="F227" i="1"/>
  <c r="E227" i="1"/>
  <c r="D227" i="1"/>
  <c r="C227" i="1"/>
  <c r="B223" i="1"/>
  <c r="M222" i="1"/>
  <c r="M221" i="1"/>
  <c r="Q223" i="1"/>
  <c r="P223" i="1"/>
  <c r="O223" i="1"/>
  <c r="N223" i="1"/>
  <c r="L223" i="1"/>
  <c r="K223" i="1"/>
  <c r="J223" i="1"/>
  <c r="I223" i="1"/>
  <c r="H223" i="1"/>
  <c r="G223" i="1"/>
  <c r="F223" i="1"/>
  <c r="E223" i="1"/>
  <c r="D223" i="1"/>
  <c r="M220" i="1"/>
  <c r="B219" i="1"/>
  <c r="B228" i="1" s="1"/>
  <c r="Q219" i="1"/>
  <c r="P219" i="1"/>
  <c r="P228" i="1" s="1"/>
  <c r="O219" i="1"/>
  <c r="N219" i="1"/>
  <c r="N228" i="1" s="1"/>
  <c r="L219" i="1"/>
  <c r="K219" i="1"/>
  <c r="K228" i="1" s="1"/>
  <c r="J219" i="1"/>
  <c r="I219" i="1"/>
  <c r="I228" i="1" s="1"/>
  <c r="H219" i="1"/>
  <c r="G219" i="1"/>
  <c r="G228" i="1" s="1"/>
  <c r="F219" i="1"/>
  <c r="E219" i="1"/>
  <c r="E228" i="1" s="1"/>
  <c r="D219" i="1"/>
  <c r="C219" i="1"/>
  <c r="D228" i="1" l="1"/>
  <c r="F228" i="1"/>
  <c r="H228" i="1"/>
  <c r="J228" i="1"/>
  <c r="L228" i="1"/>
  <c r="M223" i="1"/>
  <c r="O228" i="1"/>
  <c r="Q228" i="1"/>
  <c r="T218" i="1"/>
  <c r="T225" i="1"/>
  <c r="T226" i="1"/>
  <c r="S219" i="1"/>
  <c r="M218" i="1"/>
  <c r="T221" i="1"/>
  <c r="T222" i="1"/>
  <c r="C223" i="1"/>
  <c r="C228" i="1" s="1"/>
  <c r="M224" i="1"/>
  <c r="S227" i="1"/>
  <c r="M225" i="1"/>
  <c r="M226" i="1"/>
  <c r="S223" i="1"/>
  <c r="T224" i="1" l="1"/>
  <c r="T227" i="1" s="1"/>
  <c r="R227" i="1"/>
  <c r="T217" i="1"/>
  <c r="T219" i="1" s="1"/>
  <c r="R219" i="1"/>
  <c r="M227" i="1"/>
  <c r="R223" i="1"/>
  <c r="T220" i="1"/>
  <c r="T223" i="1" s="1"/>
  <c r="S228" i="1"/>
  <c r="M219" i="1"/>
  <c r="M228" i="1" s="1"/>
  <c r="R228" i="1" l="1"/>
  <c r="T228" i="1"/>
  <c r="N192" i="1" l="1"/>
  <c r="B192" i="1"/>
  <c r="M191" i="1"/>
  <c r="L191" i="1"/>
  <c r="K191" i="1"/>
  <c r="J191" i="1"/>
  <c r="H191" i="1"/>
  <c r="G191" i="1"/>
  <c r="F191" i="1"/>
  <c r="E191" i="1"/>
  <c r="D191" i="1"/>
  <c r="C191" i="1"/>
  <c r="M190" i="1"/>
  <c r="L190" i="1"/>
  <c r="K190" i="1"/>
  <c r="J190" i="1"/>
  <c r="H190" i="1"/>
  <c r="G190" i="1"/>
  <c r="F190" i="1"/>
  <c r="E190" i="1"/>
  <c r="C190" i="1"/>
  <c r="I190" i="1" s="1"/>
  <c r="M189" i="1"/>
  <c r="L189" i="1"/>
  <c r="L192" i="1" s="1"/>
  <c r="K189" i="1"/>
  <c r="J189" i="1"/>
  <c r="H189" i="1"/>
  <c r="G189" i="1"/>
  <c r="F189" i="1"/>
  <c r="E189" i="1"/>
  <c r="E192" i="1" s="1"/>
  <c r="D189" i="1"/>
  <c r="D192" i="1" s="1"/>
  <c r="C189" i="1"/>
  <c r="I189" i="1" s="1"/>
  <c r="N188" i="1"/>
  <c r="B188" i="1"/>
  <c r="M187" i="1"/>
  <c r="L187" i="1"/>
  <c r="K187" i="1"/>
  <c r="J187" i="1"/>
  <c r="H187" i="1"/>
  <c r="G187" i="1"/>
  <c r="F187" i="1"/>
  <c r="E187" i="1"/>
  <c r="D187" i="1"/>
  <c r="C187" i="1"/>
  <c r="M186" i="1"/>
  <c r="L186" i="1"/>
  <c r="K186" i="1"/>
  <c r="J186" i="1"/>
  <c r="H186" i="1"/>
  <c r="G186" i="1"/>
  <c r="F186" i="1"/>
  <c r="E186" i="1"/>
  <c r="D186" i="1"/>
  <c r="C186" i="1"/>
  <c r="I186" i="1" s="1"/>
  <c r="M185" i="1"/>
  <c r="M188" i="1" s="1"/>
  <c r="L185" i="1"/>
  <c r="L188" i="1" s="1"/>
  <c r="K185" i="1"/>
  <c r="K188" i="1" s="1"/>
  <c r="J185" i="1"/>
  <c r="J188" i="1" s="1"/>
  <c r="H185" i="1"/>
  <c r="G185" i="1"/>
  <c r="G188" i="1" s="1"/>
  <c r="F185" i="1"/>
  <c r="E185" i="1"/>
  <c r="E188" i="1" s="1"/>
  <c r="D185" i="1"/>
  <c r="C185" i="1"/>
  <c r="C188" i="1" s="1"/>
  <c r="O184" i="1"/>
  <c r="N184" i="1"/>
  <c r="N193" i="1" s="1"/>
  <c r="B184" i="1"/>
  <c r="M183" i="1"/>
  <c r="L183" i="1"/>
  <c r="K183" i="1"/>
  <c r="J183" i="1"/>
  <c r="H183" i="1"/>
  <c r="G183" i="1"/>
  <c r="F183" i="1"/>
  <c r="E183" i="1"/>
  <c r="D183" i="1"/>
  <c r="C183" i="1"/>
  <c r="M182" i="1"/>
  <c r="L182" i="1"/>
  <c r="K182" i="1"/>
  <c r="J182" i="1"/>
  <c r="H182" i="1"/>
  <c r="G182" i="1"/>
  <c r="F182" i="1"/>
  <c r="E182" i="1"/>
  <c r="D182" i="1"/>
  <c r="C182" i="1"/>
  <c r="M181" i="1"/>
  <c r="L181" i="1"/>
  <c r="L184" i="1" s="1"/>
  <c r="K181" i="1"/>
  <c r="J181" i="1"/>
  <c r="H181" i="1"/>
  <c r="H184" i="1" s="1"/>
  <c r="G181" i="1"/>
  <c r="F181" i="1"/>
  <c r="E181" i="1"/>
  <c r="D181" i="1"/>
  <c r="D184" i="1" s="1"/>
  <c r="C181" i="1"/>
  <c r="I181" i="1" s="1"/>
  <c r="I182" i="1" l="1"/>
  <c r="H192" i="1"/>
  <c r="K192" i="1"/>
  <c r="K184" i="1"/>
  <c r="I185" i="1"/>
  <c r="O185" i="1" s="1"/>
  <c r="F192" i="1"/>
  <c r="C192" i="1"/>
  <c r="E184" i="1"/>
  <c r="M184" i="1"/>
  <c r="F184" i="1"/>
  <c r="J184" i="1"/>
  <c r="C184" i="1"/>
  <c r="G184" i="1"/>
  <c r="D188" i="1"/>
  <c r="F188" i="1"/>
  <c r="H188" i="1"/>
  <c r="I187" i="1"/>
  <c r="O187" i="1" s="1"/>
  <c r="M192" i="1"/>
  <c r="G192" i="1"/>
  <c r="J192" i="1"/>
  <c r="I191" i="1"/>
  <c r="O191" i="1" s="1"/>
  <c r="O192" i="1" s="1"/>
  <c r="I192" i="1"/>
  <c r="I183" i="1"/>
  <c r="I184" i="1" s="1"/>
  <c r="O188" i="1" l="1"/>
  <c r="O193" i="1" s="1"/>
  <c r="I188" i="1"/>
  <c r="O33" i="2"/>
  <c r="P17" i="2"/>
  <c r="P16" i="2" l="1"/>
  <c r="O32" i="2"/>
  <c r="P175" i="1"/>
  <c r="P171" i="1"/>
  <c r="P167" i="1"/>
  <c r="O175" i="1"/>
  <c r="N175" i="1"/>
  <c r="M175" i="1"/>
  <c r="L175" i="1"/>
  <c r="K175" i="1"/>
  <c r="J175" i="1"/>
  <c r="H175" i="1"/>
  <c r="G175" i="1"/>
  <c r="F175" i="1"/>
  <c r="E175" i="1"/>
  <c r="D175" i="1"/>
  <c r="C175" i="1"/>
  <c r="B175" i="1"/>
  <c r="I174" i="1"/>
  <c r="I173" i="1"/>
  <c r="I172" i="1"/>
  <c r="O171" i="1"/>
  <c r="N171" i="1"/>
  <c r="M171" i="1"/>
  <c r="L171" i="1"/>
  <c r="K171" i="1"/>
  <c r="J171" i="1"/>
  <c r="H171" i="1"/>
  <c r="G171" i="1"/>
  <c r="F171" i="1"/>
  <c r="E171" i="1"/>
  <c r="D171" i="1"/>
  <c r="C171" i="1"/>
  <c r="B171" i="1"/>
  <c r="I170" i="1"/>
  <c r="I169" i="1"/>
  <c r="I168" i="1"/>
  <c r="P176" i="1"/>
  <c r="O167" i="1"/>
  <c r="N167" i="1"/>
  <c r="N176" i="1" s="1"/>
  <c r="M167" i="1"/>
  <c r="L167" i="1"/>
  <c r="L176" i="1" s="1"/>
  <c r="K167" i="1"/>
  <c r="J167" i="1"/>
  <c r="J176" i="1" s="1"/>
  <c r="H167" i="1"/>
  <c r="G167" i="1"/>
  <c r="G176" i="1" s="1"/>
  <c r="F167" i="1"/>
  <c r="E167" i="1"/>
  <c r="D167" i="1"/>
  <c r="C167" i="1"/>
  <c r="C176" i="1" s="1"/>
  <c r="B167" i="1"/>
  <c r="I166" i="1"/>
  <c r="I165" i="1"/>
  <c r="I164" i="1"/>
  <c r="I167" i="1" s="1"/>
  <c r="M176" i="1" l="1"/>
  <c r="B176" i="1"/>
  <c r="D176" i="1"/>
  <c r="F176" i="1"/>
  <c r="H176" i="1"/>
  <c r="K176" i="1"/>
  <c r="O176" i="1"/>
  <c r="I171" i="1"/>
  <c r="E176" i="1"/>
  <c r="I175" i="1"/>
  <c r="I176" i="1"/>
  <c r="P15" i="2"/>
  <c r="O31" i="2"/>
  <c r="P159" i="1"/>
  <c r="O159" i="1"/>
  <c r="N159" i="1"/>
  <c r="M159" i="1"/>
  <c r="L159" i="1"/>
  <c r="K159" i="1"/>
  <c r="J159" i="1"/>
  <c r="H159" i="1"/>
  <c r="G159" i="1"/>
  <c r="F159" i="1"/>
  <c r="E159" i="1"/>
  <c r="D159" i="1"/>
  <c r="C159" i="1"/>
  <c r="I159" i="1" s="1"/>
  <c r="B159" i="1"/>
  <c r="I158" i="1"/>
  <c r="I157" i="1"/>
  <c r="I156" i="1"/>
  <c r="I155" i="1"/>
  <c r="I154" i="1"/>
  <c r="I153" i="1"/>
  <c r="I152" i="1"/>
  <c r="I151" i="1"/>
  <c r="I150" i="1"/>
  <c r="R143" i="1" l="1"/>
  <c r="Q143" i="1"/>
  <c r="P143" i="1"/>
  <c r="O143" i="1"/>
  <c r="N143" i="1"/>
  <c r="M143" i="1"/>
  <c r="L143" i="1"/>
  <c r="J143" i="1"/>
  <c r="I143" i="1"/>
  <c r="H143" i="1"/>
  <c r="G143" i="1"/>
  <c r="F143" i="1"/>
  <c r="E143" i="1"/>
  <c r="D143" i="1"/>
  <c r="C143" i="1"/>
  <c r="B143" i="1"/>
  <c r="K142" i="1"/>
  <c r="K141" i="1"/>
  <c r="K140" i="1"/>
  <c r="K139" i="1"/>
  <c r="K138" i="1"/>
  <c r="K137" i="1"/>
  <c r="K136" i="1"/>
  <c r="K135" i="1"/>
  <c r="K134" i="1"/>
  <c r="K143" i="1" l="1"/>
  <c r="O128" i="1"/>
  <c r="N128" i="1"/>
  <c r="M128" i="1"/>
  <c r="L128" i="1"/>
  <c r="K128" i="1"/>
  <c r="J128" i="1"/>
  <c r="H128" i="1"/>
  <c r="G128" i="1"/>
  <c r="F128" i="1"/>
  <c r="E128" i="1"/>
  <c r="B128" i="1"/>
  <c r="P127" i="1"/>
  <c r="I127" i="1"/>
  <c r="D126" i="1"/>
  <c r="D128" i="1" s="1"/>
  <c r="C126" i="1"/>
  <c r="C128" i="1" s="1"/>
  <c r="I125" i="1"/>
  <c r="I124" i="1"/>
  <c r="I123" i="1"/>
  <c r="P122" i="1"/>
  <c r="P128" i="1" s="1"/>
  <c r="I122" i="1"/>
  <c r="I121" i="1"/>
  <c r="I120" i="1"/>
  <c r="I128" i="1" l="1"/>
  <c r="I126" i="1"/>
  <c r="O21" i="2"/>
  <c r="O22" i="2"/>
  <c r="O23" i="2"/>
  <c r="O24" i="2"/>
  <c r="O25" i="2"/>
  <c r="O26" i="2"/>
  <c r="O27" i="2"/>
  <c r="O28" i="2"/>
  <c r="O29" i="2"/>
  <c r="O30" i="2"/>
  <c r="O20" i="2"/>
  <c r="P14" i="2" l="1"/>
  <c r="P13" i="2"/>
  <c r="L114" i="1" l="1"/>
  <c r="K114" i="1"/>
  <c r="J114" i="1"/>
  <c r="I114" i="1"/>
  <c r="G114" i="1"/>
  <c r="F114" i="1"/>
  <c r="E114" i="1"/>
  <c r="D114" i="1"/>
  <c r="C114" i="1"/>
  <c r="B114" i="1"/>
  <c r="H113" i="1"/>
  <c r="H112" i="1"/>
  <c r="H111" i="1"/>
  <c r="H110" i="1"/>
  <c r="H109" i="1"/>
  <c r="H108" i="1"/>
  <c r="H107" i="1"/>
  <c r="H106" i="1"/>
  <c r="H114" i="1" s="1"/>
  <c r="P12" i="2" l="1"/>
  <c r="P8" i="2"/>
  <c r="P9" i="2"/>
  <c r="P10" i="2"/>
  <c r="P11" i="2"/>
  <c r="P5" i="2"/>
  <c r="P4" i="2"/>
  <c r="P6" i="2"/>
  <c r="P7" i="2"/>
  <c r="M87" i="1"/>
  <c r="M74" i="1"/>
  <c r="M55" i="1"/>
  <c r="M43" i="1"/>
  <c r="M30" i="1"/>
  <c r="M27" i="1"/>
  <c r="M16" i="1"/>
  <c r="H12" i="1"/>
  <c r="H53" i="1" l="1"/>
  <c r="H54" i="1"/>
  <c r="H50" i="1"/>
  <c r="H51" i="1"/>
  <c r="H52" i="1"/>
  <c r="H49" i="1"/>
  <c r="H48" i="1"/>
  <c r="H4" i="1"/>
  <c r="H5" i="1"/>
  <c r="B6" i="1"/>
  <c r="C6" i="1"/>
  <c r="D6" i="1"/>
  <c r="E6" i="1"/>
  <c r="F6" i="1"/>
  <c r="G6" i="1"/>
  <c r="K6" i="1"/>
  <c r="L6" i="1"/>
  <c r="H37" i="1"/>
  <c r="H38" i="1"/>
  <c r="H39" i="1"/>
  <c r="H40" i="1"/>
  <c r="H41" i="1"/>
  <c r="H42" i="1"/>
  <c r="H36" i="1"/>
  <c r="G43" i="1"/>
  <c r="F43" i="1"/>
  <c r="E43" i="1"/>
  <c r="D43" i="1"/>
  <c r="C43" i="1"/>
  <c r="B43" i="1"/>
  <c r="G30" i="1"/>
  <c r="F30" i="1"/>
  <c r="E30" i="1"/>
  <c r="C30" i="1"/>
  <c r="D30" i="1"/>
  <c r="B30" i="1"/>
  <c r="H24" i="1"/>
  <c r="H25" i="1"/>
  <c r="H26" i="1"/>
  <c r="H27" i="1"/>
  <c r="H28" i="1"/>
  <c r="H29" i="1"/>
  <c r="H23" i="1"/>
  <c r="H14" i="1"/>
  <c r="H15" i="1"/>
  <c r="H13" i="1"/>
  <c r="L16" i="1"/>
  <c r="K16" i="1"/>
  <c r="G16" i="1"/>
  <c r="F16" i="1"/>
  <c r="E16" i="1"/>
  <c r="D16" i="1"/>
  <c r="C16" i="1"/>
  <c r="B16" i="1"/>
  <c r="L55" i="1"/>
  <c r="K55" i="1"/>
  <c r="G55" i="1"/>
  <c r="F55" i="1"/>
  <c r="E55" i="1"/>
  <c r="D55" i="1"/>
  <c r="C55" i="1"/>
  <c r="B55" i="1"/>
  <c r="H6" i="1" l="1"/>
  <c r="H30" i="1"/>
  <c r="H43" i="1"/>
  <c r="H16" i="1"/>
  <c r="H55" i="1"/>
  <c r="L74" i="1"/>
  <c r="K74" i="1"/>
  <c r="H74" i="1"/>
  <c r="G74" i="1"/>
  <c r="F74" i="1"/>
  <c r="E74" i="1"/>
  <c r="D74" i="1"/>
  <c r="C74" i="1"/>
  <c r="B74" i="1"/>
  <c r="H87" i="1"/>
  <c r="L87" i="1"/>
  <c r="K87" i="1"/>
  <c r="G87" i="1"/>
  <c r="F87" i="1"/>
  <c r="E87" i="1"/>
  <c r="D87" i="1"/>
  <c r="C87" i="1"/>
  <c r="B87" i="1"/>
</calcChain>
</file>

<file path=xl/sharedStrings.xml><?xml version="1.0" encoding="utf-8"?>
<sst xmlns="http://schemas.openxmlformats.org/spreadsheetml/2006/main" count="547" uniqueCount="118">
  <si>
    <t>CLASSES</t>
  </si>
  <si>
    <t xml:space="preserve">          SEX              </t>
  </si>
  <si>
    <t>PASSANTS</t>
  </si>
  <si>
    <t xml:space="preserve">         REDOUBLENTS</t>
  </si>
  <si>
    <t>EFFECTIF INSCRIT</t>
  </si>
  <si>
    <t>TEST DE NIVEAU</t>
  </si>
  <si>
    <t>TRANSFERT</t>
  </si>
  <si>
    <t>GARCONS</t>
  </si>
  <si>
    <t xml:space="preserve">FILLES </t>
  </si>
  <si>
    <t>FILLES</t>
  </si>
  <si>
    <t>2nde I</t>
  </si>
  <si>
    <t>2nde II</t>
  </si>
  <si>
    <t>PL</t>
  </si>
  <si>
    <t>TL</t>
  </si>
  <si>
    <t>TD</t>
  </si>
  <si>
    <t>TC</t>
  </si>
  <si>
    <t>TOTAL</t>
  </si>
  <si>
    <t>2nde III</t>
  </si>
  <si>
    <t>PS</t>
  </si>
  <si>
    <t>SITUATION DES EFFECTIFS DES ELEVES 2016-2017</t>
  </si>
  <si>
    <t>SITUATION DES EFFECTIFS DES ELEVES 2015-2016</t>
  </si>
  <si>
    <t>SITUATION DES EFFECTIFS DES ELEVES 2014-2015</t>
  </si>
  <si>
    <t>2010-2011</t>
  </si>
  <si>
    <t>SITUATION DES EFFECTIFS DES ELEVES 2010-2011</t>
  </si>
  <si>
    <t>SITUATION DES EFFECTIFS DES ELEVES 2011-2012</t>
  </si>
  <si>
    <t>SITUATION DES EFFECTIFS DES ELEVES 2012-2013</t>
  </si>
  <si>
    <t>SITUATION DES EFFECTIFS DES ELEVES 2013-2014</t>
  </si>
  <si>
    <t>QUITE</t>
  </si>
  <si>
    <t>MATH</t>
  </si>
  <si>
    <t>PC</t>
  </si>
  <si>
    <t>SVT</t>
  </si>
  <si>
    <t>MLG</t>
  </si>
  <si>
    <t>FRS</t>
  </si>
  <si>
    <t>ANG</t>
  </si>
  <si>
    <t>ALL</t>
  </si>
  <si>
    <t>HG</t>
  </si>
  <si>
    <t>PHILO</t>
  </si>
  <si>
    <t>EPS</t>
  </si>
  <si>
    <t>2011-2012</t>
  </si>
  <si>
    <t>2012-2013</t>
  </si>
  <si>
    <t>2013-2014</t>
  </si>
  <si>
    <t>2014-2015</t>
  </si>
  <si>
    <t>2015-2016</t>
  </si>
  <si>
    <t>2016-2017</t>
  </si>
  <si>
    <t>2017-2018</t>
  </si>
  <si>
    <t>SCIENTIFIQUES</t>
  </si>
  <si>
    <t>LITERAIRES</t>
  </si>
  <si>
    <t>ANNEE SCOLAIRE</t>
  </si>
  <si>
    <t>PROVISEURE</t>
  </si>
  <si>
    <t>SG</t>
  </si>
  <si>
    <t>SECRETAIRE</t>
  </si>
  <si>
    <t>GARDIEN</t>
  </si>
  <si>
    <t>FEMME DE MENAGE</t>
  </si>
  <si>
    <t>TOTA</t>
  </si>
  <si>
    <t>EFFECTIF DES PERSONNELS ENSEIGNANTS DEPUIS 2010</t>
  </si>
  <si>
    <t>EFFECTIF DES PERSONNELS ADMINISTRATIFS DEPUIS 2010</t>
  </si>
  <si>
    <t>2018-2019</t>
  </si>
  <si>
    <t>PROVISEUR ADJ/ R.P</t>
  </si>
  <si>
    <t>SITUATION DES EFFECTIFS DES ELEVES 2017-2018</t>
  </si>
  <si>
    <t xml:space="preserve">EFFECTIF </t>
  </si>
  <si>
    <t>NORMAL</t>
  </si>
  <si>
    <t>PS1</t>
  </si>
  <si>
    <t>PS2</t>
  </si>
  <si>
    <t>TS</t>
  </si>
  <si>
    <t>SITUATION DES EFFECTIFS DES ELEVES 2018-2019</t>
  </si>
  <si>
    <t>SCOLARITE</t>
  </si>
  <si>
    <t>SURVEILLANT</t>
  </si>
  <si>
    <t>2019-2020</t>
  </si>
  <si>
    <t>2020-2021</t>
  </si>
  <si>
    <t>SES</t>
  </si>
  <si>
    <t>EAC</t>
  </si>
  <si>
    <t>TICE</t>
  </si>
  <si>
    <t>NOMBRE DE SECTION ET EFFECTIF DES ELEVES 2019-2020</t>
  </si>
  <si>
    <t>SECTION</t>
  </si>
  <si>
    <t>QUITTE</t>
  </si>
  <si>
    <t>1ère OSE</t>
  </si>
  <si>
    <t>NOMBRE DE SECTION ET EFFECTIF DES ELEVES 2020-2021</t>
  </si>
  <si>
    <t>TRIPLENTS</t>
  </si>
  <si>
    <t>T OSE</t>
  </si>
  <si>
    <t>NOMBRE DE SECTION ET EFFECTIF DES ELEVES PAR CLASSE 2021-2022</t>
  </si>
  <si>
    <t>EFFECTIF REEL</t>
  </si>
  <si>
    <t>FEMININ</t>
  </si>
  <si>
    <t>MASCULIN</t>
  </si>
  <si>
    <t>2021-2022</t>
  </si>
  <si>
    <t>NOMBRE DE SECTION ET EFFECTIF DES ELEVES PAR CLASSE 2022-2023</t>
  </si>
  <si>
    <t xml:space="preserve">Total 2nde </t>
  </si>
  <si>
    <t>Total 1ères</t>
  </si>
  <si>
    <t>Total Tle</t>
  </si>
  <si>
    <t>TOTAL GENERAL</t>
  </si>
  <si>
    <t>Quité</t>
  </si>
  <si>
    <t>Effectif réel</t>
  </si>
  <si>
    <t>2022-2023</t>
  </si>
  <si>
    <t>MANDARIN/ESPA</t>
  </si>
  <si>
    <t>BIBLIOTHECAIRE</t>
  </si>
  <si>
    <t>DEPOSITAIRE COMPTABLE</t>
  </si>
  <si>
    <t>Sécretaire comptable</t>
  </si>
  <si>
    <t>2023-2024</t>
  </si>
  <si>
    <t>NOMBRE DE SECTIONS ET EFFECTIF DES ELEVES PAR CLASSE 2023-2024</t>
  </si>
  <si>
    <t xml:space="preserve">          GENRES     </t>
  </si>
  <si>
    <t xml:space="preserve">         REDOUBLANTS</t>
  </si>
  <si>
    <t>EFFECTIFS INSCRIT</t>
  </si>
  <si>
    <t>TRANSFERTS</t>
  </si>
  <si>
    <t>QUITTER</t>
  </si>
  <si>
    <t>EFFECTIF RECENT</t>
  </si>
  <si>
    <t>NOMBRE DE SECTIONS ET EFFECTIFS DES ELEVES PAR CLASSE 2024-2025</t>
  </si>
  <si>
    <t>EFFECTIFS INSCRITS</t>
  </si>
  <si>
    <t>P L</t>
  </si>
  <si>
    <t>P OSE</t>
  </si>
  <si>
    <t>P S</t>
  </si>
  <si>
    <t>T L</t>
  </si>
  <si>
    <t>T S</t>
  </si>
  <si>
    <t>NOMBRE DE SECTIONS ET EFFECTIFS DES ÉLÈVES PAR CLASSE 2025-2026</t>
  </si>
  <si>
    <t>REDOUBLANTS</t>
  </si>
  <si>
    <t>ABANDONS</t>
  </si>
  <si>
    <t>QUITTÉS</t>
  </si>
  <si>
    <t>EFFECTIFS RÉCENTS</t>
  </si>
  <si>
    <t>FÉMININ</t>
  </si>
  <si>
    <t>Total 1ère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</si>
</sst>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8401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67"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center" textRotation="90"/>
    </xf>
    <xf numFmtId="0" fontId="3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1" xfId="0" applyFont="1" applyBorder="1" applyAlignment="1"/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2" xfId="0" applyFont="1" applyBorder="1" applyAlignment="1"/>
    <xf numFmtId="0" fontId="7" fillId="0" borderId="1" xfId="0" applyFont="1" applyBorder="1" applyAlignment="1">
      <alignment textRotation="255"/>
    </xf>
    <xf numFmtId="0" fontId="7" fillId="0" borderId="11" xfId="0" applyFont="1" applyBorder="1" applyAlignment="1">
      <alignment textRotation="255"/>
    </xf>
    <xf numFmtId="0" fontId="7" fillId="0" borderId="9" xfId="0" applyFont="1" applyBorder="1" applyAlignment="1">
      <alignment textRotation="255"/>
    </xf>
    <xf numFmtId="0" fontId="4" fillId="0" borderId="11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0" fillId="0" borderId="0" xfId="1"/>
    <xf numFmtId="0" fontId="2" fillId="0" borderId="7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12" fillId="0" borderId="25" xfId="1" applyFont="1" applyBorder="1" applyAlignment="1">
      <alignment horizontal="center" vertical="center"/>
    </xf>
    <xf numFmtId="0" fontId="12" fillId="0" borderId="9" xfId="1" applyFont="1" applyFill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4" borderId="13" xfId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12" fillId="5" borderId="13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3" fillId="0" borderId="13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3" xfId="1" applyFont="1" applyBorder="1" applyAlignment="1">
      <alignment vertical="center"/>
    </xf>
    <xf numFmtId="0" fontId="9" fillId="0" borderId="13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0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2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/>
    <xf numFmtId="0" fontId="2" fillId="0" borderId="4" xfId="0" applyFont="1" applyBorder="1"/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" fillId="0" borderId="0" xfId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2" xfId="0" applyFont="1" applyBorder="1"/>
    <xf numFmtId="0" fontId="9" fillId="2" borderId="1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9" fillId="0" borderId="13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13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12" fillId="7" borderId="13" xfId="1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MZ%20Ann&#233;e%20scolaire%202023-2024/Liste%20des%20&#233;l&#232;ves/LISTE%20DES%20ELEVES%202023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nde 1"/>
      <sheetName val="2nde 2"/>
      <sheetName val="2nde 3"/>
      <sheetName val="P L"/>
      <sheetName val="P OSE"/>
      <sheetName val="P S"/>
      <sheetName val="T OSE"/>
      <sheetName val="T L"/>
      <sheetName val="T S"/>
      <sheetName val="Situation des élèves"/>
      <sheetName val="Liste Mandarin"/>
      <sheetName val="Décharge dossier T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8"/>
  <sheetViews>
    <sheetView tabSelected="1" topLeftCell="A212" workbookViewId="0">
      <selection activeCell="O217" sqref="O217"/>
    </sheetView>
  </sheetViews>
  <sheetFormatPr baseColWidth="10" defaultRowHeight="15" x14ac:dyDescent="0.25"/>
  <cols>
    <col min="1" max="1" width="14.28515625" customWidth="1"/>
    <col min="8" max="8" width="14.85546875" customWidth="1"/>
    <col min="13" max="13" width="12" customWidth="1"/>
    <col min="15" max="15" width="15.5703125" customWidth="1"/>
  </cols>
  <sheetData>
    <row r="1" spans="1:13" ht="21.75" thickBot="1" x14ac:dyDescent="0.4">
      <c r="A1" s="120" t="s">
        <v>23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3" ht="15.75" thickBot="1" x14ac:dyDescent="0.3">
      <c r="A2" s="131" t="s">
        <v>0</v>
      </c>
      <c r="B2" s="123" t="s">
        <v>1</v>
      </c>
      <c r="C2" s="124"/>
      <c r="D2" s="123" t="s">
        <v>2</v>
      </c>
      <c r="E2" s="124"/>
      <c r="F2" s="125" t="s">
        <v>3</v>
      </c>
      <c r="G2" s="126"/>
      <c r="H2" s="127" t="s">
        <v>4</v>
      </c>
      <c r="I2" s="123" t="s">
        <v>5</v>
      </c>
      <c r="J2" s="124"/>
      <c r="K2" s="123" t="s">
        <v>6</v>
      </c>
      <c r="L2" s="124"/>
      <c r="M2" s="15" t="s">
        <v>27</v>
      </c>
    </row>
    <row r="3" spans="1:13" ht="15.75" thickBot="1" x14ac:dyDescent="0.3">
      <c r="A3" s="132"/>
      <c r="B3" s="1" t="s">
        <v>7</v>
      </c>
      <c r="C3" s="1" t="s">
        <v>8</v>
      </c>
      <c r="D3" s="1" t="s">
        <v>7</v>
      </c>
      <c r="E3" s="1" t="s">
        <v>9</v>
      </c>
      <c r="F3" s="1" t="s">
        <v>7</v>
      </c>
      <c r="G3" s="6" t="s">
        <v>9</v>
      </c>
      <c r="H3" s="128"/>
      <c r="I3" s="1" t="s">
        <v>7</v>
      </c>
      <c r="J3" s="1" t="s">
        <v>9</v>
      </c>
      <c r="K3" s="2" t="s">
        <v>7</v>
      </c>
      <c r="L3" s="1" t="s">
        <v>9</v>
      </c>
      <c r="M3" s="18"/>
    </row>
    <row r="4" spans="1:13" ht="21.75" customHeight="1" thickBot="1" x14ac:dyDescent="0.4">
      <c r="A4" s="3" t="s">
        <v>10</v>
      </c>
      <c r="B4" s="4">
        <v>26</v>
      </c>
      <c r="C4" s="4">
        <v>28</v>
      </c>
      <c r="D4" s="4">
        <v>26</v>
      </c>
      <c r="E4" s="4">
        <v>28</v>
      </c>
      <c r="F4" s="4">
        <v>0</v>
      </c>
      <c r="G4" s="4">
        <v>0</v>
      </c>
      <c r="H4" s="4">
        <f>SUM(B4:C4)</f>
        <v>54</v>
      </c>
      <c r="I4" s="4">
        <v>0</v>
      </c>
      <c r="J4" s="4">
        <v>0</v>
      </c>
      <c r="K4" s="7">
        <v>0</v>
      </c>
      <c r="L4" s="16">
        <v>0</v>
      </c>
      <c r="M4" s="19">
        <v>2</v>
      </c>
    </row>
    <row r="5" spans="1:13" ht="18.75" customHeight="1" thickBot="1" x14ac:dyDescent="0.4">
      <c r="A5" s="3" t="s">
        <v>11</v>
      </c>
      <c r="B5" s="4">
        <v>29</v>
      </c>
      <c r="C5" s="4">
        <v>25</v>
      </c>
      <c r="D5" s="4">
        <v>29</v>
      </c>
      <c r="E5" s="4">
        <v>25</v>
      </c>
      <c r="F5" s="4">
        <v>0</v>
      </c>
      <c r="G5" s="4">
        <v>0</v>
      </c>
      <c r="H5" s="4">
        <f>SUM(B5:C5)</f>
        <v>54</v>
      </c>
      <c r="I5" s="4">
        <v>0</v>
      </c>
      <c r="J5" s="4">
        <v>0</v>
      </c>
      <c r="K5" s="7">
        <v>0</v>
      </c>
      <c r="L5" s="17">
        <v>0</v>
      </c>
      <c r="M5" s="20">
        <v>3</v>
      </c>
    </row>
    <row r="6" spans="1:13" ht="23.25" thickBot="1" x14ac:dyDescent="0.4">
      <c r="A6" s="11" t="s">
        <v>16</v>
      </c>
      <c r="B6" s="12">
        <f t="shared" ref="B6:H6" si="0">SUM(B4:B5)</f>
        <v>55</v>
      </c>
      <c r="C6" s="12">
        <f t="shared" si="0"/>
        <v>53</v>
      </c>
      <c r="D6" s="12">
        <f t="shared" si="0"/>
        <v>55</v>
      </c>
      <c r="E6" s="12">
        <f t="shared" si="0"/>
        <v>53</v>
      </c>
      <c r="F6" s="12">
        <f t="shared" si="0"/>
        <v>0</v>
      </c>
      <c r="G6" s="12">
        <f t="shared" si="0"/>
        <v>0</v>
      </c>
      <c r="H6" s="12">
        <f t="shared" si="0"/>
        <v>108</v>
      </c>
      <c r="I6" s="12">
        <v>0</v>
      </c>
      <c r="J6" s="12">
        <v>0</v>
      </c>
      <c r="K6" s="13">
        <f>SUM(K4:K5)</f>
        <v>0</v>
      </c>
      <c r="L6" s="16">
        <f>SUM(L4:L5)</f>
        <v>0</v>
      </c>
      <c r="M6" s="21">
        <v>5</v>
      </c>
    </row>
    <row r="7" spans="1:13" ht="21" x14ac:dyDescent="0.35">
      <c r="A7" s="10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9"/>
    </row>
    <row r="8" spans="1:13" ht="21" hidden="1" x14ac:dyDescent="0.35">
      <c r="A8" s="10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9"/>
    </row>
    <row r="9" spans="1:13" ht="21.75" thickBot="1" x14ac:dyDescent="0.4">
      <c r="A9" s="120" t="s">
        <v>24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</row>
    <row r="10" spans="1:13" ht="15.75" thickBot="1" x14ac:dyDescent="0.3">
      <c r="A10" s="131" t="s">
        <v>0</v>
      </c>
      <c r="B10" s="123" t="s">
        <v>1</v>
      </c>
      <c r="C10" s="124"/>
      <c r="D10" s="123" t="s">
        <v>2</v>
      </c>
      <c r="E10" s="124"/>
      <c r="F10" s="125" t="s">
        <v>3</v>
      </c>
      <c r="G10" s="126"/>
      <c r="H10" s="127" t="s">
        <v>4</v>
      </c>
      <c r="I10" s="123" t="s">
        <v>5</v>
      </c>
      <c r="J10" s="124"/>
      <c r="K10" s="123" t="s">
        <v>6</v>
      </c>
      <c r="L10" s="124"/>
      <c r="M10" s="15" t="s">
        <v>27</v>
      </c>
    </row>
    <row r="11" spans="1:13" ht="15.75" thickBot="1" x14ac:dyDescent="0.3">
      <c r="A11" s="137"/>
      <c r="B11" s="1" t="s">
        <v>7</v>
      </c>
      <c r="C11" s="1" t="s">
        <v>8</v>
      </c>
      <c r="D11" s="1" t="s">
        <v>7</v>
      </c>
      <c r="E11" s="1" t="s">
        <v>9</v>
      </c>
      <c r="F11" s="1" t="s">
        <v>7</v>
      </c>
      <c r="G11" s="6" t="s">
        <v>9</v>
      </c>
      <c r="H11" s="138"/>
      <c r="I11" s="1" t="s">
        <v>7</v>
      </c>
      <c r="J11" s="1" t="s">
        <v>9</v>
      </c>
      <c r="K11" s="2" t="s">
        <v>7</v>
      </c>
      <c r="L11" s="1" t="s">
        <v>9</v>
      </c>
      <c r="M11" s="18"/>
    </row>
    <row r="12" spans="1:13" ht="23.25" thickBot="1" x14ac:dyDescent="0.4">
      <c r="A12" s="3" t="s">
        <v>10</v>
      </c>
      <c r="B12" s="4">
        <v>26</v>
      </c>
      <c r="C12" s="4">
        <v>17</v>
      </c>
      <c r="D12" s="4">
        <v>22</v>
      </c>
      <c r="E12" s="4">
        <v>17</v>
      </c>
      <c r="F12" s="4">
        <v>2</v>
      </c>
      <c r="G12" s="4">
        <v>0</v>
      </c>
      <c r="H12" s="4">
        <f>SUM(B12:C12)</f>
        <v>43</v>
      </c>
      <c r="I12" s="4">
        <v>0</v>
      </c>
      <c r="J12" s="4">
        <v>0</v>
      </c>
      <c r="K12" s="7">
        <v>0</v>
      </c>
      <c r="L12" s="16">
        <v>0</v>
      </c>
      <c r="M12" s="19">
        <v>1</v>
      </c>
    </row>
    <row r="13" spans="1:13" ht="21.75" thickBot="1" x14ac:dyDescent="0.4">
      <c r="A13" s="3" t="s">
        <v>11</v>
      </c>
      <c r="B13" s="4">
        <v>31</v>
      </c>
      <c r="C13" s="4">
        <v>13</v>
      </c>
      <c r="D13" s="4">
        <v>24</v>
      </c>
      <c r="E13" s="4">
        <v>11</v>
      </c>
      <c r="F13" s="4">
        <v>5</v>
      </c>
      <c r="G13" s="4">
        <v>2</v>
      </c>
      <c r="H13" s="4">
        <f>SUM(B13:C13)</f>
        <v>44</v>
      </c>
      <c r="I13" s="4">
        <v>0</v>
      </c>
      <c r="J13" s="4">
        <v>0</v>
      </c>
      <c r="K13" s="7">
        <v>2</v>
      </c>
      <c r="L13" s="14">
        <v>0</v>
      </c>
      <c r="M13" s="22">
        <v>3</v>
      </c>
    </row>
    <row r="14" spans="1:13" ht="21.75" thickBot="1" x14ac:dyDescent="0.4">
      <c r="A14" s="3" t="s">
        <v>12</v>
      </c>
      <c r="B14" s="4">
        <v>14</v>
      </c>
      <c r="C14" s="4">
        <v>33</v>
      </c>
      <c r="D14" s="4">
        <v>14</v>
      </c>
      <c r="E14" s="4">
        <v>33</v>
      </c>
      <c r="F14" s="4">
        <v>0</v>
      </c>
      <c r="G14" s="4">
        <v>0</v>
      </c>
      <c r="H14" s="4">
        <f>SUM(B14:C14)</f>
        <v>47</v>
      </c>
      <c r="I14" s="4">
        <v>0</v>
      </c>
      <c r="J14" s="4">
        <v>0</v>
      </c>
      <c r="K14" s="7">
        <v>0</v>
      </c>
      <c r="L14" s="14">
        <v>0</v>
      </c>
      <c r="M14" s="23">
        <v>0</v>
      </c>
    </row>
    <row r="15" spans="1:13" ht="21.75" thickBot="1" x14ac:dyDescent="0.4">
      <c r="A15" s="3" t="s">
        <v>18</v>
      </c>
      <c r="B15" s="4">
        <v>27</v>
      </c>
      <c r="C15" s="4">
        <v>13</v>
      </c>
      <c r="D15" s="4">
        <v>27</v>
      </c>
      <c r="E15" s="4">
        <v>13</v>
      </c>
      <c r="F15" s="4">
        <v>0</v>
      </c>
      <c r="G15" s="4">
        <v>0</v>
      </c>
      <c r="H15" s="4">
        <f>SUM(B15:C15)</f>
        <v>40</v>
      </c>
      <c r="I15" s="4">
        <v>0</v>
      </c>
      <c r="J15" s="4">
        <v>0</v>
      </c>
      <c r="K15" s="7">
        <v>0</v>
      </c>
      <c r="L15" s="14">
        <v>0</v>
      </c>
      <c r="M15" s="22">
        <v>2</v>
      </c>
    </row>
    <row r="16" spans="1:13" ht="21.75" thickBot="1" x14ac:dyDescent="0.4">
      <c r="A16" s="3" t="s">
        <v>16</v>
      </c>
      <c r="B16" s="4">
        <f t="shared" ref="B16:H16" si="1">SUM(B11:B15)</f>
        <v>98</v>
      </c>
      <c r="C16" s="4">
        <f t="shared" si="1"/>
        <v>76</v>
      </c>
      <c r="D16" s="4">
        <f t="shared" si="1"/>
        <v>87</v>
      </c>
      <c r="E16" s="4">
        <f t="shared" si="1"/>
        <v>74</v>
      </c>
      <c r="F16" s="4">
        <f t="shared" si="1"/>
        <v>7</v>
      </c>
      <c r="G16" s="4">
        <f t="shared" si="1"/>
        <v>2</v>
      </c>
      <c r="H16" s="4">
        <f t="shared" si="1"/>
        <v>174</v>
      </c>
      <c r="I16" s="4">
        <v>0</v>
      </c>
      <c r="J16" s="4">
        <v>0</v>
      </c>
      <c r="K16" s="7">
        <f>SUM(K11:K15)</f>
        <v>2</v>
      </c>
      <c r="L16" s="14">
        <f>SUM(L11:L15)</f>
        <v>0</v>
      </c>
      <c r="M16" s="24">
        <f>SUM(M12:M15)</f>
        <v>6</v>
      </c>
    </row>
    <row r="20" spans="1:13" ht="21.75" thickBot="1" x14ac:dyDescent="0.4">
      <c r="A20" s="120" t="s">
        <v>25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</row>
    <row r="21" spans="1:13" ht="15.75" thickBot="1" x14ac:dyDescent="0.3">
      <c r="A21" s="131" t="s">
        <v>0</v>
      </c>
      <c r="B21" s="123" t="s">
        <v>1</v>
      </c>
      <c r="C21" s="124"/>
      <c r="D21" s="123" t="s">
        <v>2</v>
      </c>
      <c r="E21" s="124"/>
      <c r="F21" s="125" t="s">
        <v>3</v>
      </c>
      <c r="G21" s="126"/>
      <c r="H21" s="127" t="s">
        <v>4</v>
      </c>
      <c r="I21" s="123" t="s">
        <v>5</v>
      </c>
      <c r="J21" s="124"/>
      <c r="K21" s="123" t="s">
        <v>6</v>
      </c>
      <c r="L21" s="124"/>
      <c r="M21" s="15" t="s">
        <v>27</v>
      </c>
    </row>
    <row r="22" spans="1:13" ht="15.75" thickBot="1" x14ac:dyDescent="0.3">
      <c r="A22" s="132"/>
      <c r="B22" s="1" t="s">
        <v>7</v>
      </c>
      <c r="C22" s="1" t="s">
        <v>8</v>
      </c>
      <c r="D22" s="1" t="s">
        <v>7</v>
      </c>
      <c r="E22" s="1" t="s">
        <v>9</v>
      </c>
      <c r="F22" s="1" t="s">
        <v>7</v>
      </c>
      <c r="G22" s="6" t="s">
        <v>9</v>
      </c>
      <c r="H22" s="128"/>
      <c r="I22" s="1" t="s">
        <v>7</v>
      </c>
      <c r="J22" s="1" t="s">
        <v>9</v>
      </c>
      <c r="K22" s="2" t="s">
        <v>7</v>
      </c>
      <c r="L22" s="1" t="s">
        <v>9</v>
      </c>
      <c r="M22" s="18"/>
    </row>
    <row r="23" spans="1:13" ht="23.25" thickBot="1" x14ac:dyDescent="0.4">
      <c r="A23" s="3" t="s">
        <v>10</v>
      </c>
      <c r="B23" s="4">
        <v>20</v>
      </c>
      <c r="C23" s="4">
        <v>17</v>
      </c>
      <c r="D23" s="4">
        <v>20</v>
      </c>
      <c r="E23" s="4">
        <v>17</v>
      </c>
      <c r="F23" s="4">
        <v>0</v>
      </c>
      <c r="G23" s="4">
        <v>0</v>
      </c>
      <c r="H23" s="4">
        <f>SUM(B23:C23)</f>
        <v>37</v>
      </c>
      <c r="I23" s="4">
        <v>0</v>
      </c>
      <c r="J23" s="4">
        <v>0</v>
      </c>
      <c r="K23" s="7">
        <v>0</v>
      </c>
      <c r="L23" s="4">
        <v>0</v>
      </c>
      <c r="M23" s="19">
        <v>1</v>
      </c>
    </row>
    <row r="24" spans="1:13" ht="21.75" thickBot="1" x14ac:dyDescent="0.4">
      <c r="A24" s="3" t="s">
        <v>11</v>
      </c>
      <c r="B24" s="4">
        <v>17</v>
      </c>
      <c r="C24" s="4">
        <v>20</v>
      </c>
      <c r="D24" s="4">
        <v>17</v>
      </c>
      <c r="E24" s="4">
        <v>20</v>
      </c>
      <c r="F24" s="4">
        <v>0</v>
      </c>
      <c r="G24" s="4">
        <v>0</v>
      </c>
      <c r="H24" s="4">
        <f t="shared" ref="H24:H29" si="2">SUM(B24:C24)</f>
        <v>37</v>
      </c>
      <c r="I24" s="4">
        <v>0</v>
      </c>
      <c r="J24" s="4">
        <v>0</v>
      </c>
      <c r="K24" s="7">
        <v>0</v>
      </c>
      <c r="L24" s="4">
        <v>0</v>
      </c>
      <c r="M24" s="22">
        <v>0</v>
      </c>
    </row>
    <row r="25" spans="1:13" ht="21.75" thickBot="1" x14ac:dyDescent="0.4">
      <c r="A25" s="3" t="s">
        <v>12</v>
      </c>
      <c r="B25" s="4">
        <v>13</v>
      </c>
      <c r="C25" s="4">
        <v>18</v>
      </c>
      <c r="D25" s="4">
        <v>13</v>
      </c>
      <c r="E25" s="4">
        <v>17</v>
      </c>
      <c r="F25" s="4">
        <v>0</v>
      </c>
      <c r="G25" s="4">
        <v>1</v>
      </c>
      <c r="H25" s="4">
        <f t="shared" si="2"/>
        <v>31</v>
      </c>
      <c r="I25" s="4">
        <v>0</v>
      </c>
      <c r="J25" s="4">
        <v>0</v>
      </c>
      <c r="K25" s="7">
        <v>0</v>
      </c>
      <c r="L25" s="4">
        <v>0</v>
      </c>
      <c r="M25" s="23">
        <v>11</v>
      </c>
    </row>
    <row r="26" spans="1:13" ht="21.75" thickBot="1" x14ac:dyDescent="0.4">
      <c r="A26" s="3" t="s">
        <v>18</v>
      </c>
      <c r="B26" s="4">
        <v>35</v>
      </c>
      <c r="C26" s="4">
        <v>14</v>
      </c>
      <c r="D26" s="4">
        <v>34</v>
      </c>
      <c r="E26" s="4">
        <v>14</v>
      </c>
      <c r="F26" s="4">
        <v>1</v>
      </c>
      <c r="G26" s="4">
        <v>0</v>
      </c>
      <c r="H26" s="4">
        <f t="shared" si="2"/>
        <v>49</v>
      </c>
      <c r="I26" s="4">
        <v>0</v>
      </c>
      <c r="J26" s="4">
        <v>0</v>
      </c>
      <c r="K26" s="7">
        <v>0</v>
      </c>
      <c r="L26" s="4">
        <v>0</v>
      </c>
      <c r="M26" s="22">
        <v>12</v>
      </c>
    </row>
    <row r="27" spans="1:13" ht="21.75" thickBot="1" x14ac:dyDescent="0.4">
      <c r="A27" s="3" t="s">
        <v>13</v>
      </c>
      <c r="B27" s="4">
        <v>12</v>
      </c>
      <c r="C27" s="4">
        <v>30</v>
      </c>
      <c r="D27" s="4">
        <v>12</v>
      </c>
      <c r="E27" s="4">
        <v>30</v>
      </c>
      <c r="F27" s="4">
        <v>0</v>
      </c>
      <c r="G27" s="4">
        <v>0</v>
      </c>
      <c r="H27" s="4">
        <f t="shared" si="2"/>
        <v>42</v>
      </c>
      <c r="I27" s="4">
        <v>0</v>
      </c>
      <c r="J27" s="4">
        <v>0</v>
      </c>
      <c r="K27" s="7">
        <v>0</v>
      </c>
      <c r="L27" s="4">
        <v>0</v>
      </c>
      <c r="M27" s="24">
        <f>SUM(M23:M26)</f>
        <v>24</v>
      </c>
    </row>
    <row r="28" spans="1:13" ht="21.75" thickBot="1" x14ac:dyDescent="0.4">
      <c r="A28" s="3" t="s">
        <v>14</v>
      </c>
      <c r="B28" s="4">
        <v>14</v>
      </c>
      <c r="C28" s="4">
        <v>12</v>
      </c>
      <c r="D28" s="4">
        <v>14</v>
      </c>
      <c r="E28" s="4">
        <v>12</v>
      </c>
      <c r="F28" s="4">
        <v>0</v>
      </c>
      <c r="G28" s="4">
        <v>0</v>
      </c>
      <c r="H28" s="4">
        <f t="shared" si="2"/>
        <v>26</v>
      </c>
      <c r="I28" s="4">
        <v>0</v>
      </c>
      <c r="J28" s="4">
        <v>0</v>
      </c>
      <c r="K28" s="7">
        <v>0</v>
      </c>
      <c r="L28" s="4">
        <v>0</v>
      </c>
      <c r="M28" s="25">
        <v>0</v>
      </c>
    </row>
    <row r="29" spans="1:13" ht="21.75" thickBot="1" x14ac:dyDescent="0.4">
      <c r="A29" s="3" t="s">
        <v>15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f t="shared" si="2"/>
        <v>0</v>
      </c>
      <c r="I29" s="4">
        <v>0</v>
      </c>
      <c r="J29" s="4">
        <v>0</v>
      </c>
      <c r="K29" s="7">
        <v>0</v>
      </c>
      <c r="L29" s="4">
        <v>0</v>
      </c>
      <c r="M29" s="22">
        <v>0</v>
      </c>
    </row>
    <row r="30" spans="1:13" ht="21.75" thickBot="1" x14ac:dyDescent="0.4">
      <c r="A30" s="3" t="s">
        <v>16</v>
      </c>
      <c r="B30" s="4">
        <f t="shared" ref="B30:H30" si="3">SUM(B23:B29)</f>
        <v>111</v>
      </c>
      <c r="C30" s="4">
        <f t="shared" si="3"/>
        <v>111</v>
      </c>
      <c r="D30" s="4">
        <f t="shared" si="3"/>
        <v>110</v>
      </c>
      <c r="E30" s="4">
        <f t="shared" si="3"/>
        <v>110</v>
      </c>
      <c r="F30" s="4">
        <f t="shared" si="3"/>
        <v>1</v>
      </c>
      <c r="G30" s="4">
        <f t="shared" si="3"/>
        <v>1</v>
      </c>
      <c r="H30" s="4">
        <f t="shared" si="3"/>
        <v>222</v>
      </c>
      <c r="I30" s="4">
        <v>0</v>
      </c>
      <c r="J30" s="4">
        <v>0</v>
      </c>
      <c r="K30" s="7">
        <v>0</v>
      </c>
      <c r="L30" s="4">
        <v>0</v>
      </c>
      <c r="M30" s="24">
        <f>SUM(M23:M29)</f>
        <v>48</v>
      </c>
    </row>
    <row r="33" spans="1:13" ht="21.75" thickBot="1" x14ac:dyDescent="0.4">
      <c r="A33" s="120" t="s">
        <v>26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</row>
    <row r="34" spans="1:13" ht="15.75" thickBot="1" x14ac:dyDescent="0.3">
      <c r="A34" s="131" t="s">
        <v>0</v>
      </c>
      <c r="B34" s="123" t="s">
        <v>1</v>
      </c>
      <c r="C34" s="124"/>
      <c r="D34" s="123" t="s">
        <v>2</v>
      </c>
      <c r="E34" s="124"/>
      <c r="F34" s="125" t="s">
        <v>3</v>
      </c>
      <c r="G34" s="126"/>
      <c r="H34" s="127" t="s">
        <v>4</v>
      </c>
      <c r="I34" s="123" t="s">
        <v>5</v>
      </c>
      <c r="J34" s="124"/>
      <c r="K34" s="123" t="s">
        <v>6</v>
      </c>
      <c r="L34" s="124"/>
      <c r="M34" s="15" t="s">
        <v>27</v>
      </c>
    </row>
    <row r="35" spans="1:13" ht="15.75" thickBot="1" x14ac:dyDescent="0.3">
      <c r="A35" s="132"/>
      <c r="B35" s="1" t="s">
        <v>7</v>
      </c>
      <c r="C35" s="1" t="s">
        <v>8</v>
      </c>
      <c r="D35" s="1" t="s">
        <v>7</v>
      </c>
      <c r="E35" s="1" t="s">
        <v>9</v>
      </c>
      <c r="F35" s="1" t="s">
        <v>7</v>
      </c>
      <c r="G35" s="6" t="s">
        <v>9</v>
      </c>
      <c r="H35" s="128"/>
      <c r="I35" s="1" t="s">
        <v>7</v>
      </c>
      <c r="J35" s="1" t="s">
        <v>9</v>
      </c>
      <c r="K35" s="2" t="s">
        <v>7</v>
      </c>
      <c r="L35" s="1" t="s">
        <v>9</v>
      </c>
      <c r="M35" s="18"/>
    </row>
    <row r="36" spans="1:13" ht="23.25" thickBot="1" x14ac:dyDescent="0.4">
      <c r="A36" s="3" t="s">
        <v>10</v>
      </c>
      <c r="B36" s="4">
        <v>24</v>
      </c>
      <c r="C36" s="4">
        <v>22</v>
      </c>
      <c r="D36" s="4">
        <v>20</v>
      </c>
      <c r="E36" s="4">
        <v>21</v>
      </c>
      <c r="F36" s="4">
        <v>4</v>
      </c>
      <c r="G36" s="4">
        <v>1</v>
      </c>
      <c r="H36" s="4">
        <f>SUM(B36:C36)</f>
        <v>46</v>
      </c>
      <c r="I36" s="4">
        <v>0</v>
      </c>
      <c r="J36" s="4">
        <v>0</v>
      </c>
      <c r="K36" s="7">
        <v>0</v>
      </c>
      <c r="L36" s="4">
        <v>0</v>
      </c>
      <c r="M36" s="19">
        <v>3</v>
      </c>
    </row>
    <row r="37" spans="1:13" ht="21.75" thickBot="1" x14ac:dyDescent="0.4">
      <c r="A37" s="3" t="s">
        <v>11</v>
      </c>
      <c r="B37" s="4">
        <v>28</v>
      </c>
      <c r="C37" s="4">
        <v>17</v>
      </c>
      <c r="D37" s="4">
        <v>27</v>
      </c>
      <c r="E37" s="4">
        <v>15</v>
      </c>
      <c r="F37" s="4">
        <v>1</v>
      </c>
      <c r="G37" s="4">
        <v>2</v>
      </c>
      <c r="H37" s="4">
        <f t="shared" ref="H37:H42" si="4">SUM(B37:C37)</f>
        <v>45</v>
      </c>
      <c r="I37" s="4">
        <v>0</v>
      </c>
      <c r="J37" s="4">
        <v>0</v>
      </c>
      <c r="K37" s="7">
        <v>0</v>
      </c>
      <c r="L37" s="4">
        <v>0</v>
      </c>
      <c r="M37" s="22">
        <v>1</v>
      </c>
    </row>
    <row r="38" spans="1:13" ht="21.75" thickBot="1" x14ac:dyDescent="0.4">
      <c r="A38" s="3" t="s">
        <v>12</v>
      </c>
      <c r="B38" s="4">
        <v>8</v>
      </c>
      <c r="C38" s="4">
        <v>23</v>
      </c>
      <c r="D38" s="4">
        <v>8</v>
      </c>
      <c r="E38" s="4">
        <v>22</v>
      </c>
      <c r="F38" s="4">
        <v>0</v>
      </c>
      <c r="G38" s="4">
        <v>1</v>
      </c>
      <c r="H38" s="4">
        <f t="shared" si="4"/>
        <v>31</v>
      </c>
      <c r="I38" s="4">
        <v>0</v>
      </c>
      <c r="J38" s="4">
        <v>0</v>
      </c>
      <c r="K38" s="7">
        <v>0</v>
      </c>
      <c r="L38" s="4">
        <v>0</v>
      </c>
      <c r="M38" s="23">
        <v>1</v>
      </c>
    </row>
    <row r="39" spans="1:13" ht="21.75" thickBot="1" x14ac:dyDescent="0.4">
      <c r="A39" s="3" t="s">
        <v>18</v>
      </c>
      <c r="B39" s="4">
        <v>22</v>
      </c>
      <c r="C39" s="4">
        <v>10</v>
      </c>
      <c r="D39" s="4">
        <v>18</v>
      </c>
      <c r="E39" s="4">
        <v>10</v>
      </c>
      <c r="F39" s="4">
        <v>4</v>
      </c>
      <c r="G39" s="4">
        <v>0</v>
      </c>
      <c r="H39" s="4">
        <f t="shared" si="4"/>
        <v>32</v>
      </c>
      <c r="I39" s="4">
        <v>0</v>
      </c>
      <c r="J39" s="4">
        <v>0</v>
      </c>
      <c r="K39" s="7">
        <v>0</v>
      </c>
      <c r="L39" s="4">
        <v>0</v>
      </c>
      <c r="M39" s="22">
        <v>2</v>
      </c>
    </row>
    <row r="40" spans="1:13" ht="21.75" thickBot="1" x14ac:dyDescent="0.4">
      <c r="A40" s="3" t="s">
        <v>13</v>
      </c>
      <c r="B40" s="4">
        <v>14</v>
      </c>
      <c r="C40" s="4">
        <v>19</v>
      </c>
      <c r="D40" s="4">
        <v>13</v>
      </c>
      <c r="E40" s="4">
        <v>15</v>
      </c>
      <c r="F40" s="4">
        <v>1</v>
      </c>
      <c r="G40" s="4">
        <v>4</v>
      </c>
      <c r="H40" s="4">
        <f t="shared" si="4"/>
        <v>33</v>
      </c>
      <c r="I40" s="4">
        <v>0</v>
      </c>
      <c r="J40" s="4">
        <v>0</v>
      </c>
      <c r="K40" s="7">
        <v>0</v>
      </c>
      <c r="L40" s="4">
        <v>0</v>
      </c>
      <c r="M40" s="24">
        <v>2</v>
      </c>
    </row>
    <row r="41" spans="1:13" ht="21.75" thickBot="1" x14ac:dyDescent="0.4">
      <c r="A41" s="3" t="s">
        <v>14</v>
      </c>
      <c r="B41" s="4">
        <v>20</v>
      </c>
      <c r="C41" s="4">
        <v>16</v>
      </c>
      <c r="D41" s="4">
        <v>11</v>
      </c>
      <c r="E41" s="4">
        <v>10</v>
      </c>
      <c r="F41" s="4">
        <v>9</v>
      </c>
      <c r="G41" s="4">
        <v>6</v>
      </c>
      <c r="H41" s="4">
        <f t="shared" si="4"/>
        <v>36</v>
      </c>
      <c r="I41" s="4">
        <v>0</v>
      </c>
      <c r="J41" s="4">
        <v>0</v>
      </c>
      <c r="K41" s="7">
        <v>0</v>
      </c>
      <c r="L41" s="4">
        <v>0</v>
      </c>
      <c r="M41" s="25">
        <v>2</v>
      </c>
    </row>
    <row r="42" spans="1:13" ht="18" customHeight="1" thickBot="1" x14ac:dyDescent="0.4">
      <c r="A42" s="3" t="s">
        <v>15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f t="shared" si="4"/>
        <v>0</v>
      </c>
      <c r="I42" s="4">
        <v>0</v>
      </c>
      <c r="J42" s="4">
        <v>0</v>
      </c>
      <c r="K42" s="7">
        <v>0</v>
      </c>
      <c r="L42" s="4">
        <v>0</v>
      </c>
      <c r="M42" s="22">
        <v>0</v>
      </c>
    </row>
    <row r="43" spans="1:13" ht="21.75" thickBot="1" x14ac:dyDescent="0.4">
      <c r="A43" s="3" t="s">
        <v>16</v>
      </c>
      <c r="B43" s="4">
        <f t="shared" ref="B43:H43" si="5">SUM(B36:B42)</f>
        <v>116</v>
      </c>
      <c r="C43" s="4">
        <f t="shared" si="5"/>
        <v>107</v>
      </c>
      <c r="D43" s="4">
        <f t="shared" si="5"/>
        <v>97</v>
      </c>
      <c r="E43" s="4">
        <f t="shared" si="5"/>
        <v>93</v>
      </c>
      <c r="F43" s="4">
        <f t="shared" si="5"/>
        <v>19</v>
      </c>
      <c r="G43" s="4">
        <f t="shared" si="5"/>
        <v>14</v>
      </c>
      <c r="H43" s="4">
        <f t="shared" si="5"/>
        <v>223</v>
      </c>
      <c r="I43" s="4">
        <v>0</v>
      </c>
      <c r="J43" s="4">
        <v>0</v>
      </c>
      <c r="K43" s="7">
        <v>0</v>
      </c>
      <c r="L43" s="4">
        <v>0</v>
      </c>
      <c r="M43" s="24">
        <f>SUM(M36:M42)</f>
        <v>11</v>
      </c>
    </row>
    <row r="45" spans="1:13" ht="21.75" thickBot="1" x14ac:dyDescent="0.4">
      <c r="A45" s="120" t="s">
        <v>21</v>
      </c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</row>
    <row r="46" spans="1:13" ht="15.75" thickBot="1" x14ac:dyDescent="0.3">
      <c r="A46" s="131" t="s">
        <v>0</v>
      </c>
      <c r="B46" s="123" t="s">
        <v>1</v>
      </c>
      <c r="C46" s="124"/>
      <c r="D46" s="123" t="s">
        <v>2</v>
      </c>
      <c r="E46" s="124"/>
      <c r="F46" s="125" t="s">
        <v>3</v>
      </c>
      <c r="G46" s="126"/>
      <c r="H46" s="127" t="s">
        <v>4</v>
      </c>
      <c r="I46" s="123" t="s">
        <v>5</v>
      </c>
      <c r="J46" s="124"/>
      <c r="K46" s="123" t="s">
        <v>6</v>
      </c>
      <c r="L46" s="124"/>
      <c r="M46" s="15" t="s">
        <v>27</v>
      </c>
    </row>
    <row r="47" spans="1:13" ht="15.75" thickBot="1" x14ac:dyDescent="0.3">
      <c r="A47" s="132"/>
      <c r="B47" s="1" t="s">
        <v>7</v>
      </c>
      <c r="C47" s="1" t="s">
        <v>8</v>
      </c>
      <c r="D47" s="1" t="s">
        <v>7</v>
      </c>
      <c r="E47" s="1" t="s">
        <v>9</v>
      </c>
      <c r="F47" s="1" t="s">
        <v>7</v>
      </c>
      <c r="G47" s="6" t="s">
        <v>9</v>
      </c>
      <c r="H47" s="128"/>
      <c r="I47" s="1" t="s">
        <v>7</v>
      </c>
      <c r="J47" s="1" t="s">
        <v>9</v>
      </c>
      <c r="K47" s="2" t="s">
        <v>7</v>
      </c>
      <c r="L47" s="1" t="s">
        <v>9</v>
      </c>
      <c r="M47" s="18"/>
    </row>
    <row r="48" spans="1:13" ht="23.25" thickBot="1" x14ac:dyDescent="0.4">
      <c r="A48" s="3" t="s">
        <v>10</v>
      </c>
      <c r="B48" s="4">
        <v>15</v>
      </c>
      <c r="C48" s="4">
        <v>38</v>
      </c>
      <c r="D48" s="4">
        <v>15</v>
      </c>
      <c r="E48" s="4">
        <v>38</v>
      </c>
      <c r="F48" s="4">
        <v>0</v>
      </c>
      <c r="G48" s="4">
        <v>0</v>
      </c>
      <c r="H48" s="4">
        <f>SUM(B48:C48)</f>
        <v>53</v>
      </c>
      <c r="I48" s="4">
        <v>0</v>
      </c>
      <c r="J48" s="4">
        <v>0</v>
      </c>
      <c r="K48" s="7">
        <v>0</v>
      </c>
      <c r="L48" s="4">
        <v>0</v>
      </c>
      <c r="M48" s="19">
        <v>4</v>
      </c>
    </row>
    <row r="49" spans="1:13" ht="21.75" thickBot="1" x14ac:dyDescent="0.4">
      <c r="A49" s="3" t="s">
        <v>11</v>
      </c>
      <c r="B49" s="4">
        <v>20</v>
      </c>
      <c r="C49" s="4">
        <v>31</v>
      </c>
      <c r="D49" s="4">
        <v>20</v>
      </c>
      <c r="E49" s="4">
        <v>31</v>
      </c>
      <c r="F49" s="4">
        <v>0</v>
      </c>
      <c r="G49" s="4">
        <v>0</v>
      </c>
      <c r="H49" s="4">
        <f>SUM(B49:C49)</f>
        <v>51</v>
      </c>
      <c r="I49" s="4">
        <v>0</v>
      </c>
      <c r="J49" s="4">
        <v>0</v>
      </c>
      <c r="K49" s="7">
        <v>0</v>
      </c>
      <c r="L49" s="4">
        <v>0</v>
      </c>
      <c r="M49" s="22">
        <v>4</v>
      </c>
    </row>
    <row r="50" spans="1:13" ht="21.75" thickBot="1" x14ac:dyDescent="0.4">
      <c r="A50" s="3" t="s">
        <v>12</v>
      </c>
      <c r="B50" s="4">
        <v>21</v>
      </c>
      <c r="C50" s="4">
        <v>23</v>
      </c>
      <c r="D50" s="4">
        <v>21</v>
      </c>
      <c r="E50" s="4">
        <v>20</v>
      </c>
      <c r="F50" s="4">
        <v>0</v>
      </c>
      <c r="G50" s="4">
        <v>0</v>
      </c>
      <c r="H50" s="4">
        <f t="shared" ref="H50:H52" si="6">SUM(B50:C50)</f>
        <v>44</v>
      </c>
      <c r="I50" s="4">
        <v>0</v>
      </c>
      <c r="J50" s="4">
        <v>3</v>
      </c>
      <c r="K50" s="7">
        <v>0</v>
      </c>
      <c r="L50" s="4">
        <v>0</v>
      </c>
      <c r="M50" s="23">
        <v>4</v>
      </c>
    </row>
    <row r="51" spans="1:13" ht="21.75" thickBot="1" x14ac:dyDescent="0.4">
      <c r="A51" s="3" t="s">
        <v>18</v>
      </c>
      <c r="B51" s="4">
        <v>28</v>
      </c>
      <c r="C51" s="4">
        <v>24</v>
      </c>
      <c r="D51" s="4">
        <v>23</v>
      </c>
      <c r="E51" s="4">
        <v>23</v>
      </c>
      <c r="F51" s="4">
        <v>3</v>
      </c>
      <c r="G51" s="4">
        <v>0</v>
      </c>
      <c r="H51" s="4">
        <f t="shared" si="6"/>
        <v>52</v>
      </c>
      <c r="I51" s="4">
        <v>0</v>
      </c>
      <c r="J51" s="4">
        <v>0</v>
      </c>
      <c r="K51" s="7">
        <v>2</v>
      </c>
      <c r="L51" s="4">
        <v>1</v>
      </c>
      <c r="M51" s="22">
        <v>0</v>
      </c>
    </row>
    <row r="52" spans="1:13" ht="21.75" thickBot="1" x14ac:dyDescent="0.4">
      <c r="A52" s="3" t="s">
        <v>13</v>
      </c>
      <c r="B52" s="4">
        <v>16</v>
      </c>
      <c r="C52" s="4">
        <v>36</v>
      </c>
      <c r="D52" s="4">
        <v>11</v>
      </c>
      <c r="E52" s="4">
        <v>25</v>
      </c>
      <c r="F52" s="4">
        <v>3</v>
      </c>
      <c r="G52" s="4">
        <v>6</v>
      </c>
      <c r="H52" s="4">
        <f t="shared" si="6"/>
        <v>52</v>
      </c>
      <c r="I52" s="4">
        <v>2</v>
      </c>
      <c r="J52" s="4">
        <v>5</v>
      </c>
      <c r="K52" s="7">
        <v>1</v>
      </c>
      <c r="L52" s="4">
        <v>2</v>
      </c>
      <c r="M52" s="24">
        <v>2</v>
      </c>
    </row>
    <row r="53" spans="1:13" ht="21.75" thickBot="1" x14ac:dyDescent="0.4">
      <c r="A53" s="3" t="s">
        <v>14</v>
      </c>
      <c r="B53" s="4">
        <v>15</v>
      </c>
      <c r="C53" s="4">
        <v>13</v>
      </c>
      <c r="D53" s="4">
        <v>11</v>
      </c>
      <c r="E53" s="4">
        <v>8</v>
      </c>
      <c r="F53" s="4">
        <v>4</v>
      </c>
      <c r="G53" s="4">
        <v>5</v>
      </c>
      <c r="H53" s="4">
        <f>SUM(B53:C53)</f>
        <v>28</v>
      </c>
      <c r="I53" s="4">
        <v>2</v>
      </c>
      <c r="J53" s="4">
        <v>1</v>
      </c>
      <c r="K53" s="7">
        <v>0</v>
      </c>
      <c r="L53" s="4">
        <v>0</v>
      </c>
      <c r="M53" s="25">
        <v>0</v>
      </c>
    </row>
    <row r="54" spans="1:13" ht="21.75" customHeight="1" thickBot="1" x14ac:dyDescent="0.4">
      <c r="A54" s="3" t="s">
        <v>15</v>
      </c>
      <c r="B54" s="4">
        <v>2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f>SUM(B54:C54)</f>
        <v>3</v>
      </c>
      <c r="I54" s="4">
        <v>0</v>
      </c>
      <c r="J54" s="4">
        <v>0</v>
      </c>
      <c r="K54" s="7">
        <v>0</v>
      </c>
      <c r="L54" s="4">
        <v>0</v>
      </c>
      <c r="M54" s="22">
        <v>0</v>
      </c>
    </row>
    <row r="55" spans="1:13" ht="21.75" thickBot="1" x14ac:dyDescent="0.4">
      <c r="A55" s="3" t="s">
        <v>16</v>
      </c>
      <c r="B55" s="4">
        <f t="shared" ref="B55:H55" si="7">SUM(B48:B54)</f>
        <v>117</v>
      </c>
      <c r="C55" s="4">
        <f t="shared" si="7"/>
        <v>166</v>
      </c>
      <c r="D55" s="4">
        <f t="shared" si="7"/>
        <v>101</v>
      </c>
      <c r="E55" s="4">
        <f t="shared" si="7"/>
        <v>145</v>
      </c>
      <c r="F55" s="4">
        <f t="shared" si="7"/>
        <v>10</v>
      </c>
      <c r="G55" s="4">
        <f t="shared" si="7"/>
        <v>11</v>
      </c>
      <c r="H55" s="4">
        <f t="shared" si="7"/>
        <v>283</v>
      </c>
      <c r="I55" s="4">
        <v>0</v>
      </c>
      <c r="J55" s="4">
        <v>0</v>
      </c>
      <c r="K55" s="7">
        <f>SUM(K48:K54)</f>
        <v>3</v>
      </c>
      <c r="L55" s="4">
        <f>SUM(L48:L54)</f>
        <v>3</v>
      </c>
      <c r="M55" s="24">
        <f>SUM(M48:M54)</f>
        <v>14</v>
      </c>
    </row>
    <row r="64" spans="1:13" ht="21.75" thickBot="1" x14ac:dyDescent="0.4">
      <c r="A64" s="120" t="s">
        <v>20</v>
      </c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</row>
    <row r="65" spans="1:13" ht="15.75" thickBot="1" x14ac:dyDescent="0.3">
      <c r="A65" s="131" t="s">
        <v>0</v>
      </c>
      <c r="B65" s="123" t="s">
        <v>1</v>
      </c>
      <c r="C65" s="124"/>
      <c r="D65" s="123" t="s">
        <v>2</v>
      </c>
      <c r="E65" s="124"/>
      <c r="F65" s="125" t="s">
        <v>3</v>
      </c>
      <c r="G65" s="126"/>
      <c r="H65" s="127" t="s">
        <v>4</v>
      </c>
      <c r="I65" s="123" t="s">
        <v>5</v>
      </c>
      <c r="J65" s="124"/>
      <c r="K65" s="123" t="s">
        <v>6</v>
      </c>
      <c r="L65" s="124"/>
      <c r="M65" s="15" t="s">
        <v>27</v>
      </c>
    </row>
    <row r="66" spans="1:13" ht="18.75" customHeight="1" thickBot="1" x14ac:dyDescent="0.3">
      <c r="A66" s="132"/>
      <c r="B66" s="1" t="s">
        <v>7</v>
      </c>
      <c r="C66" s="1" t="s">
        <v>8</v>
      </c>
      <c r="D66" s="1" t="s">
        <v>7</v>
      </c>
      <c r="E66" s="1" t="s">
        <v>9</v>
      </c>
      <c r="F66" s="1" t="s">
        <v>7</v>
      </c>
      <c r="G66" s="6" t="s">
        <v>9</v>
      </c>
      <c r="H66" s="128"/>
      <c r="I66" s="1" t="s">
        <v>7</v>
      </c>
      <c r="J66" s="1" t="s">
        <v>9</v>
      </c>
      <c r="K66" s="2" t="s">
        <v>7</v>
      </c>
      <c r="L66" s="1" t="s">
        <v>9</v>
      </c>
      <c r="M66" s="18"/>
    </row>
    <row r="67" spans="1:13" ht="23.25" thickBot="1" x14ac:dyDescent="0.4">
      <c r="A67" s="3" t="s">
        <v>10</v>
      </c>
      <c r="B67" s="4">
        <v>22</v>
      </c>
      <c r="C67" s="4">
        <v>43</v>
      </c>
      <c r="D67" s="4">
        <v>21</v>
      </c>
      <c r="E67" s="4">
        <v>34</v>
      </c>
      <c r="F67" s="4">
        <v>1</v>
      </c>
      <c r="G67" s="4">
        <v>7</v>
      </c>
      <c r="H67" s="4">
        <v>65</v>
      </c>
      <c r="I67" s="4">
        <v>0</v>
      </c>
      <c r="J67" s="4">
        <v>0</v>
      </c>
      <c r="K67" s="7">
        <v>0</v>
      </c>
      <c r="L67" s="4">
        <v>0</v>
      </c>
      <c r="M67" s="19">
        <v>2</v>
      </c>
    </row>
    <row r="68" spans="1:13" ht="21.75" thickBot="1" x14ac:dyDescent="0.4">
      <c r="A68" s="3" t="s">
        <v>11</v>
      </c>
      <c r="B68" s="4">
        <v>23</v>
      </c>
      <c r="C68" s="4">
        <v>41</v>
      </c>
      <c r="D68" s="4">
        <v>21</v>
      </c>
      <c r="E68" s="4">
        <v>32</v>
      </c>
      <c r="F68" s="4">
        <v>2</v>
      </c>
      <c r="G68" s="4">
        <v>8</v>
      </c>
      <c r="H68" s="4">
        <v>64</v>
      </c>
      <c r="I68" s="4">
        <v>0</v>
      </c>
      <c r="J68" s="4">
        <v>0</v>
      </c>
      <c r="K68" s="7">
        <v>0</v>
      </c>
      <c r="L68" s="4">
        <v>0</v>
      </c>
      <c r="M68" s="22">
        <v>3</v>
      </c>
    </row>
    <row r="69" spans="1:13" ht="21.75" thickBot="1" x14ac:dyDescent="0.4">
      <c r="A69" s="3" t="s">
        <v>12</v>
      </c>
      <c r="B69" s="4">
        <v>13</v>
      </c>
      <c r="C69" s="4">
        <v>18</v>
      </c>
      <c r="D69" s="4">
        <v>6</v>
      </c>
      <c r="E69" s="4">
        <v>14</v>
      </c>
      <c r="F69" s="4">
        <v>0</v>
      </c>
      <c r="G69" s="4">
        <v>0</v>
      </c>
      <c r="H69" s="4">
        <v>31</v>
      </c>
      <c r="I69" s="4">
        <v>2</v>
      </c>
      <c r="J69" s="4">
        <v>3</v>
      </c>
      <c r="K69" s="7">
        <v>5</v>
      </c>
      <c r="L69" s="4">
        <v>1</v>
      </c>
      <c r="M69" s="23">
        <v>0</v>
      </c>
    </row>
    <row r="70" spans="1:13" ht="21.75" thickBot="1" x14ac:dyDescent="0.4">
      <c r="A70" s="3" t="s">
        <v>18</v>
      </c>
      <c r="B70" s="4">
        <v>20</v>
      </c>
      <c r="C70" s="4">
        <v>29</v>
      </c>
      <c r="D70" s="4">
        <v>20</v>
      </c>
      <c r="E70" s="4">
        <v>28</v>
      </c>
      <c r="F70" s="4">
        <v>0</v>
      </c>
      <c r="G70" s="4">
        <v>0</v>
      </c>
      <c r="H70" s="4">
        <v>49</v>
      </c>
      <c r="I70" s="4">
        <v>0</v>
      </c>
      <c r="J70" s="4">
        <v>1</v>
      </c>
      <c r="K70" s="7">
        <v>0</v>
      </c>
      <c r="L70" s="4">
        <v>0</v>
      </c>
      <c r="M70" s="22">
        <v>3</v>
      </c>
    </row>
    <row r="71" spans="1:13" ht="21.75" thickBot="1" x14ac:dyDescent="0.4">
      <c r="A71" s="3" t="s">
        <v>13</v>
      </c>
      <c r="B71" s="4">
        <v>31</v>
      </c>
      <c r="C71" s="4">
        <v>40</v>
      </c>
      <c r="D71" s="4">
        <v>28</v>
      </c>
      <c r="E71" s="4">
        <v>35</v>
      </c>
      <c r="F71" s="4">
        <v>0</v>
      </c>
      <c r="G71" s="4">
        <v>0</v>
      </c>
      <c r="H71" s="4">
        <v>71</v>
      </c>
      <c r="I71" s="4">
        <v>3</v>
      </c>
      <c r="J71" s="4">
        <v>4</v>
      </c>
      <c r="K71" s="7">
        <v>0</v>
      </c>
      <c r="L71" s="4">
        <v>1</v>
      </c>
      <c r="M71" s="24">
        <v>2</v>
      </c>
    </row>
    <row r="72" spans="1:13" ht="21.75" thickBot="1" x14ac:dyDescent="0.4">
      <c r="A72" s="3" t="s">
        <v>14</v>
      </c>
      <c r="B72" s="4">
        <v>24</v>
      </c>
      <c r="C72" s="4">
        <v>21</v>
      </c>
      <c r="D72" s="4">
        <v>17</v>
      </c>
      <c r="E72" s="4">
        <v>14</v>
      </c>
      <c r="F72" s="4">
        <v>8</v>
      </c>
      <c r="G72" s="4">
        <v>4</v>
      </c>
      <c r="H72" s="4">
        <v>48</v>
      </c>
      <c r="I72" s="4">
        <v>0</v>
      </c>
      <c r="J72" s="4">
        <v>1</v>
      </c>
      <c r="K72" s="7">
        <v>2</v>
      </c>
      <c r="L72" s="4">
        <v>2</v>
      </c>
      <c r="M72" s="25">
        <v>4</v>
      </c>
    </row>
    <row r="73" spans="1:13" ht="21.75" thickBot="1" x14ac:dyDescent="0.4">
      <c r="A73" s="3" t="s">
        <v>15</v>
      </c>
      <c r="B73" s="4">
        <v>4</v>
      </c>
      <c r="C73" s="4">
        <v>2</v>
      </c>
      <c r="D73" s="4">
        <v>2</v>
      </c>
      <c r="E73" s="4">
        <v>1</v>
      </c>
      <c r="F73" s="4">
        <v>2</v>
      </c>
      <c r="G73" s="4">
        <v>1</v>
      </c>
      <c r="H73" s="4">
        <v>6</v>
      </c>
      <c r="I73" s="4">
        <v>0</v>
      </c>
      <c r="J73" s="4">
        <v>0</v>
      </c>
      <c r="K73" s="7">
        <v>0</v>
      </c>
      <c r="L73" s="4">
        <v>0</v>
      </c>
      <c r="M73" s="22">
        <v>0</v>
      </c>
    </row>
    <row r="74" spans="1:13" ht="21.75" thickBot="1" x14ac:dyDescent="0.4">
      <c r="A74" s="3" t="s">
        <v>16</v>
      </c>
      <c r="B74" s="4">
        <f t="shared" ref="B74:H74" si="8">SUM(B67:B73)</f>
        <v>137</v>
      </c>
      <c r="C74" s="4">
        <f t="shared" si="8"/>
        <v>194</v>
      </c>
      <c r="D74" s="4">
        <f t="shared" si="8"/>
        <v>115</v>
      </c>
      <c r="E74" s="4">
        <f t="shared" si="8"/>
        <v>158</v>
      </c>
      <c r="F74" s="4">
        <f t="shared" si="8"/>
        <v>13</v>
      </c>
      <c r="G74" s="4">
        <f t="shared" si="8"/>
        <v>20</v>
      </c>
      <c r="H74" s="4">
        <f t="shared" si="8"/>
        <v>334</v>
      </c>
      <c r="I74" s="4">
        <v>0</v>
      </c>
      <c r="J74" s="4">
        <v>0</v>
      </c>
      <c r="K74" s="7">
        <f>SUM(K67:K73)</f>
        <v>7</v>
      </c>
      <c r="L74" s="4">
        <f>SUM(L67:L73)</f>
        <v>4</v>
      </c>
      <c r="M74" s="24">
        <f>SUM(M67:M73)</f>
        <v>14</v>
      </c>
    </row>
    <row r="76" spans="1:13" ht="21.75" thickBot="1" x14ac:dyDescent="0.4">
      <c r="A76" s="120" t="s">
        <v>19</v>
      </c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</row>
    <row r="77" spans="1:13" ht="15.75" thickBot="1" x14ac:dyDescent="0.3">
      <c r="A77" s="131" t="s">
        <v>0</v>
      </c>
      <c r="B77" s="123" t="s">
        <v>1</v>
      </c>
      <c r="C77" s="124"/>
      <c r="D77" s="123" t="s">
        <v>2</v>
      </c>
      <c r="E77" s="124"/>
      <c r="F77" s="125" t="s">
        <v>3</v>
      </c>
      <c r="G77" s="126"/>
      <c r="H77" s="127" t="s">
        <v>4</v>
      </c>
      <c r="I77" s="123" t="s">
        <v>5</v>
      </c>
      <c r="J77" s="124"/>
      <c r="K77" s="123" t="s">
        <v>6</v>
      </c>
      <c r="L77" s="124"/>
      <c r="M77" s="15" t="s">
        <v>27</v>
      </c>
    </row>
    <row r="78" spans="1:13" ht="15.75" thickBot="1" x14ac:dyDescent="0.3">
      <c r="A78" s="132"/>
      <c r="B78" s="1" t="s">
        <v>7</v>
      </c>
      <c r="C78" s="1" t="s">
        <v>8</v>
      </c>
      <c r="D78" s="1" t="s">
        <v>7</v>
      </c>
      <c r="E78" s="1" t="s">
        <v>9</v>
      </c>
      <c r="F78" s="1" t="s">
        <v>7</v>
      </c>
      <c r="G78" s="6" t="s">
        <v>9</v>
      </c>
      <c r="H78" s="128"/>
      <c r="I78" s="1" t="s">
        <v>7</v>
      </c>
      <c r="J78" s="1" t="s">
        <v>9</v>
      </c>
      <c r="K78" s="2" t="s">
        <v>7</v>
      </c>
      <c r="L78" s="1" t="s">
        <v>9</v>
      </c>
      <c r="M78" s="18"/>
    </row>
    <row r="79" spans="1:13" ht="23.25" thickBot="1" x14ac:dyDescent="0.4">
      <c r="A79" s="3" t="s">
        <v>10</v>
      </c>
      <c r="B79" s="4">
        <v>25</v>
      </c>
      <c r="C79" s="4">
        <v>26</v>
      </c>
      <c r="D79" s="4">
        <v>24</v>
      </c>
      <c r="E79" s="4">
        <v>22</v>
      </c>
      <c r="F79" s="4">
        <v>1</v>
      </c>
      <c r="G79" s="4">
        <v>4</v>
      </c>
      <c r="H79" s="4">
        <v>51</v>
      </c>
      <c r="I79" s="4">
        <v>0</v>
      </c>
      <c r="J79" s="4">
        <v>0</v>
      </c>
      <c r="K79" s="7">
        <v>0</v>
      </c>
      <c r="L79" s="4">
        <v>0</v>
      </c>
      <c r="M79" s="19">
        <v>4</v>
      </c>
    </row>
    <row r="80" spans="1:13" ht="21.75" thickBot="1" x14ac:dyDescent="0.4">
      <c r="A80" s="3" t="s">
        <v>11</v>
      </c>
      <c r="B80" s="4">
        <v>22</v>
      </c>
      <c r="C80" s="4">
        <v>30</v>
      </c>
      <c r="D80" s="4">
        <v>20</v>
      </c>
      <c r="E80" s="4">
        <v>29</v>
      </c>
      <c r="F80" s="4">
        <v>1</v>
      </c>
      <c r="G80" s="4">
        <v>1</v>
      </c>
      <c r="H80" s="4">
        <v>52</v>
      </c>
      <c r="I80" s="4">
        <v>0</v>
      </c>
      <c r="J80" s="4">
        <v>0</v>
      </c>
      <c r="K80" s="7">
        <v>1</v>
      </c>
      <c r="L80" s="4">
        <v>0</v>
      </c>
      <c r="M80" s="22">
        <v>1</v>
      </c>
    </row>
    <row r="81" spans="1:15" ht="21.75" thickBot="1" x14ac:dyDescent="0.4">
      <c r="A81" s="3" t="s">
        <v>17</v>
      </c>
      <c r="B81" s="4">
        <v>23</v>
      </c>
      <c r="C81" s="4">
        <v>28</v>
      </c>
      <c r="D81" s="4">
        <v>19</v>
      </c>
      <c r="E81" s="4">
        <v>21</v>
      </c>
      <c r="F81" s="4">
        <v>4</v>
      </c>
      <c r="G81" s="4">
        <v>6</v>
      </c>
      <c r="H81" s="4">
        <v>51</v>
      </c>
      <c r="I81" s="4">
        <v>0</v>
      </c>
      <c r="J81" s="4">
        <v>0</v>
      </c>
      <c r="K81" s="7">
        <v>0</v>
      </c>
      <c r="L81" s="4">
        <v>1</v>
      </c>
      <c r="M81" s="23">
        <v>9</v>
      </c>
    </row>
    <row r="82" spans="1:15" ht="21.75" thickBot="1" x14ac:dyDescent="0.4">
      <c r="A82" s="3" t="s">
        <v>12</v>
      </c>
      <c r="B82" s="4">
        <v>24</v>
      </c>
      <c r="C82" s="4">
        <v>32</v>
      </c>
      <c r="D82" s="4">
        <v>21</v>
      </c>
      <c r="E82" s="4">
        <v>27</v>
      </c>
      <c r="F82" s="4">
        <v>2</v>
      </c>
      <c r="G82" s="4">
        <v>1</v>
      </c>
      <c r="H82" s="4">
        <v>56</v>
      </c>
      <c r="I82" s="4">
        <v>0</v>
      </c>
      <c r="J82" s="4">
        <v>0</v>
      </c>
      <c r="K82" s="7">
        <v>1</v>
      </c>
      <c r="L82" s="4">
        <v>4</v>
      </c>
      <c r="M82" s="22">
        <v>3</v>
      </c>
    </row>
    <row r="83" spans="1:15" ht="21.75" thickBot="1" x14ac:dyDescent="0.4">
      <c r="A83" s="3" t="s">
        <v>18</v>
      </c>
      <c r="B83" s="4">
        <v>25</v>
      </c>
      <c r="C83" s="4">
        <v>34</v>
      </c>
      <c r="D83" s="4">
        <v>23</v>
      </c>
      <c r="E83" s="4">
        <v>31</v>
      </c>
      <c r="F83" s="4">
        <v>2</v>
      </c>
      <c r="G83" s="4">
        <v>3</v>
      </c>
      <c r="H83" s="4">
        <v>59</v>
      </c>
      <c r="I83" s="4">
        <v>0</v>
      </c>
      <c r="J83" s="4">
        <v>0</v>
      </c>
      <c r="K83" s="7">
        <v>0</v>
      </c>
      <c r="L83" s="4">
        <v>0</v>
      </c>
      <c r="M83" s="24">
        <v>3</v>
      </c>
    </row>
    <row r="84" spans="1:15" ht="21.75" thickBot="1" x14ac:dyDescent="0.4">
      <c r="A84" s="3" t="s">
        <v>13</v>
      </c>
      <c r="B84" s="4">
        <v>20</v>
      </c>
      <c r="C84" s="4">
        <v>33</v>
      </c>
      <c r="D84" s="4">
        <v>12</v>
      </c>
      <c r="E84" s="4">
        <v>21</v>
      </c>
      <c r="F84" s="4">
        <v>8</v>
      </c>
      <c r="G84" s="4">
        <v>11</v>
      </c>
      <c r="H84" s="4">
        <v>53</v>
      </c>
      <c r="I84" s="4">
        <v>0</v>
      </c>
      <c r="J84" s="4">
        <v>0</v>
      </c>
      <c r="K84" s="7">
        <v>0</v>
      </c>
      <c r="L84" s="4">
        <v>1</v>
      </c>
      <c r="M84" s="25">
        <v>0</v>
      </c>
    </row>
    <row r="85" spans="1:15" ht="21.75" thickBot="1" x14ac:dyDescent="0.4">
      <c r="A85" s="3" t="s">
        <v>14</v>
      </c>
      <c r="B85" s="4">
        <v>20</v>
      </c>
      <c r="C85" s="4">
        <v>16</v>
      </c>
      <c r="D85" s="4">
        <v>11</v>
      </c>
      <c r="E85" s="4">
        <v>8</v>
      </c>
      <c r="F85" s="4">
        <v>9</v>
      </c>
      <c r="G85" s="4">
        <v>8</v>
      </c>
      <c r="H85" s="4">
        <v>36</v>
      </c>
      <c r="I85" s="4">
        <v>0</v>
      </c>
      <c r="J85" s="4">
        <v>0</v>
      </c>
      <c r="K85" s="7">
        <v>0</v>
      </c>
      <c r="L85" s="4">
        <v>0</v>
      </c>
      <c r="M85" s="22">
        <v>1</v>
      </c>
    </row>
    <row r="86" spans="1:15" ht="21.75" thickBot="1" x14ac:dyDescent="0.4">
      <c r="A86" s="3" t="s">
        <v>15</v>
      </c>
      <c r="B86" s="4">
        <v>1</v>
      </c>
      <c r="C86" s="4">
        <v>1</v>
      </c>
      <c r="D86" s="4">
        <v>0</v>
      </c>
      <c r="E86" s="4">
        <v>1</v>
      </c>
      <c r="F86" s="4">
        <v>1</v>
      </c>
      <c r="G86" s="4">
        <v>0</v>
      </c>
      <c r="H86" s="4">
        <v>2</v>
      </c>
      <c r="I86" s="4">
        <v>0</v>
      </c>
      <c r="J86" s="4">
        <v>0</v>
      </c>
      <c r="K86" s="7">
        <v>0</v>
      </c>
      <c r="L86" s="4">
        <v>0</v>
      </c>
      <c r="M86" s="24">
        <v>0</v>
      </c>
    </row>
    <row r="87" spans="1:15" ht="21.75" thickBot="1" x14ac:dyDescent="0.4">
      <c r="A87" s="3" t="s">
        <v>16</v>
      </c>
      <c r="B87" s="4">
        <f t="shared" ref="B87:H87" si="9">SUM(B79:B86)</f>
        <v>160</v>
      </c>
      <c r="C87" s="4">
        <f t="shared" si="9"/>
        <v>200</v>
      </c>
      <c r="D87" s="4">
        <f t="shared" si="9"/>
        <v>130</v>
      </c>
      <c r="E87" s="4">
        <f t="shared" si="9"/>
        <v>160</v>
      </c>
      <c r="F87" s="4">
        <f t="shared" si="9"/>
        <v>28</v>
      </c>
      <c r="G87" s="4">
        <f t="shared" si="9"/>
        <v>34</v>
      </c>
      <c r="H87" s="4">
        <f t="shared" si="9"/>
        <v>360</v>
      </c>
      <c r="I87" s="4">
        <v>0</v>
      </c>
      <c r="J87" s="4">
        <v>0</v>
      </c>
      <c r="K87" s="7">
        <f>SUM(K79:K86)</f>
        <v>2</v>
      </c>
      <c r="L87" s="4">
        <f>SUM(L79:L86)</f>
        <v>6</v>
      </c>
      <c r="M87" s="26">
        <f>SUM(M79:M86)</f>
        <v>21</v>
      </c>
    </row>
    <row r="90" spans="1:15" ht="21.75" thickBot="1" x14ac:dyDescent="0.4">
      <c r="A90" s="120" t="s">
        <v>58</v>
      </c>
      <c r="B90" s="120"/>
      <c r="C90" s="120"/>
      <c r="D90" s="120"/>
      <c r="E90" s="120"/>
      <c r="F90" s="120"/>
      <c r="G90" s="120"/>
      <c r="H90" s="130"/>
      <c r="I90" s="120"/>
      <c r="J90" s="120"/>
      <c r="K90" s="120"/>
      <c r="L90" s="120"/>
      <c r="M90" s="120"/>
      <c r="N90" s="120"/>
      <c r="O90" s="120"/>
    </row>
    <row r="91" spans="1:15" ht="15.75" thickBot="1" x14ac:dyDescent="0.3">
      <c r="A91" s="131" t="s">
        <v>0</v>
      </c>
      <c r="B91" s="123" t="s">
        <v>1</v>
      </c>
      <c r="C91" s="124"/>
      <c r="D91" s="123" t="s">
        <v>2</v>
      </c>
      <c r="E91" s="124"/>
      <c r="F91" s="125" t="s">
        <v>3</v>
      </c>
      <c r="G91" s="133"/>
      <c r="H91" s="134" t="s">
        <v>4</v>
      </c>
      <c r="I91" s="136" t="s">
        <v>5</v>
      </c>
      <c r="J91" s="124"/>
      <c r="K91" s="123" t="s">
        <v>6</v>
      </c>
      <c r="L91" s="124"/>
      <c r="M91" s="123" t="s">
        <v>27</v>
      </c>
      <c r="N91" s="124"/>
      <c r="O91" s="28" t="s">
        <v>59</v>
      </c>
    </row>
    <row r="92" spans="1:15" ht="15.75" thickBot="1" x14ac:dyDescent="0.3">
      <c r="A92" s="132"/>
      <c r="B92" s="29" t="s">
        <v>7</v>
      </c>
      <c r="C92" s="29" t="s">
        <v>8</v>
      </c>
      <c r="D92" s="29" t="s">
        <v>7</v>
      </c>
      <c r="E92" s="29" t="s">
        <v>9</v>
      </c>
      <c r="F92" s="29" t="s">
        <v>7</v>
      </c>
      <c r="G92" s="34" t="s">
        <v>9</v>
      </c>
      <c r="H92" s="135"/>
      <c r="I92" s="29" t="s">
        <v>7</v>
      </c>
      <c r="J92" s="29" t="s">
        <v>9</v>
      </c>
      <c r="K92" s="29" t="s">
        <v>7</v>
      </c>
      <c r="L92" s="29" t="s">
        <v>9</v>
      </c>
      <c r="M92" s="29" t="s">
        <v>7</v>
      </c>
      <c r="N92" s="34" t="s">
        <v>9</v>
      </c>
      <c r="O92" s="27" t="s">
        <v>60</v>
      </c>
    </row>
    <row r="93" spans="1:15" ht="21.75" thickBot="1" x14ac:dyDescent="0.4">
      <c r="A93" s="3" t="s">
        <v>10</v>
      </c>
      <c r="B93" s="4">
        <v>16</v>
      </c>
      <c r="C93" s="4">
        <v>17</v>
      </c>
      <c r="D93" s="4">
        <v>10</v>
      </c>
      <c r="E93" s="4">
        <v>14</v>
      </c>
      <c r="F93" s="4">
        <v>6</v>
      </c>
      <c r="G93" s="4">
        <v>3</v>
      </c>
      <c r="H93" s="35">
        <v>33</v>
      </c>
      <c r="I93" s="4">
        <v>0</v>
      </c>
      <c r="J93" s="4">
        <v>0</v>
      </c>
      <c r="K93" s="4">
        <v>0</v>
      </c>
      <c r="L93" s="4">
        <v>0</v>
      </c>
      <c r="M93" s="4">
        <v>2</v>
      </c>
      <c r="N93" s="4">
        <v>0</v>
      </c>
      <c r="O93" s="4">
        <v>31</v>
      </c>
    </row>
    <row r="94" spans="1:15" ht="21.75" thickBot="1" x14ac:dyDescent="0.4">
      <c r="A94" s="3" t="s">
        <v>11</v>
      </c>
      <c r="B94" s="4">
        <v>13</v>
      </c>
      <c r="C94" s="4">
        <v>23</v>
      </c>
      <c r="D94" s="4">
        <v>10</v>
      </c>
      <c r="E94" s="4">
        <v>14</v>
      </c>
      <c r="F94" s="4">
        <v>3</v>
      </c>
      <c r="G94" s="4">
        <v>9</v>
      </c>
      <c r="H94" s="35">
        <v>36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2</v>
      </c>
      <c r="O94" s="4">
        <v>34</v>
      </c>
    </row>
    <row r="95" spans="1:15" ht="21.75" thickBot="1" x14ac:dyDescent="0.4">
      <c r="A95" s="3" t="s">
        <v>12</v>
      </c>
      <c r="B95" s="4">
        <v>19</v>
      </c>
      <c r="C95" s="4">
        <v>36</v>
      </c>
      <c r="D95" s="4">
        <v>17</v>
      </c>
      <c r="E95" s="4">
        <v>29</v>
      </c>
      <c r="F95" s="4">
        <v>2</v>
      </c>
      <c r="G95" s="4">
        <v>2</v>
      </c>
      <c r="H95" s="35">
        <v>55</v>
      </c>
      <c r="I95" s="4">
        <v>0</v>
      </c>
      <c r="J95" s="4">
        <v>3</v>
      </c>
      <c r="K95" s="4">
        <v>0</v>
      </c>
      <c r="L95" s="4">
        <v>2</v>
      </c>
      <c r="M95" s="4">
        <v>1</v>
      </c>
      <c r="N95" s="4">
        <v>0</v>
      </c>
      <c r="O95" s="4">
        <v>54</v>
      </c>
    </row>
    <row r="96" spans="1:15" ht="21.75" thickBot="1" x14ac:dyDescent="0.4">
      <c r="A96" s="3" t="s">
        <v>61</v>
      </c>
      <c r="B96" s="4">
        <v>16</v>
      </c>
      <c r="C96" s="4">
        <v>19</v>
      </c>
      <c r="D96" s="4">
        <v>14</v>
      </c>
      <c r="E96" s="4">
        <v>18</v>
      </c>
      <c r="F96" s="4">
        <v>1</v>
      </c>
      <c r="G96" s="4">
        <v>0</v>
      </c>
      <c r="H96" s="35">
        <v>35</v>
      </c>
      <c r="I96" s="4">
        <v>1</v>
      </c>
      <c r="J96" s="4">
        <v>1</v>
      </c>
      <c r="K96" s="4">
        <v>0</v>
      </c>
      <c r="L96" s="4">
        <v>0</v>
      </c>
      <c r="M96" s="4">
        <v>0</v>
      </c>
      <c r="N96" s="4">
        <v>1</v>
      </c>
      <c r="O96" s="4">
        <v>34</v>
      </c>
    </row>
    <row r="97" spans="1:15" ht="21.75" thickBot="1" x14ac:dyDescent="0.4">
      <c r="A97" s="3" t="s">
        <v>62</v>
      </c>
      <c r="B97" s="4">
        <v>16</v>
      </c>
      <c r="C97" s="4">
        <v>15</v>
      </c>
      <c r="D97" s="4">
        <v>13</v>
      </c>
      <c r="E97" s="4">
        <v>14</v>
      </c>
      <c r="F97" s="4">
        <v>1</v>
      </c>
      <c r="G97" s="4">
        <v>1</v>
      </c>
      <c r="H97" s="35">
        <v>31</v>
      </c>
      <c r="I97" s="4">
        <v>0</v>
      </c>
      <c r="J97" s="4">
        <v>0</v>
      </c>
      <c r="K97" s="4">
        <v>2</v>
      </c>
      <c r="L97" s="4">
        <v>0</v>
      </c>
      <c r="M97" s="4">
        <v>2</v>
      </c>
      <c r="N97" s="4">
        <v>0</v>
      </c>
      <c r="O97" s="4">
        <v>29</v>
      </c>
    </row>
    <row r="98" spans="1:15" ht="21.75" thickBot="1" x14ac:dyDescent="0.4">
      <c r="A98" s="3" t="s">
        <v>13</v>
      </c>
      <c r="B98" s="4">
        <v>25</v>
      </c>
      <c r="C98" s="4">
        <v>33</v>
      </c>
      <c r="D98" s="4">
        <v>17</v>
      </c>
      <c r="E98" s="4">
        <v>26</v>
      </c>
      <c r="F98" s="4">
        <v>5</v>
      </c>
      <c r="G98" s="4">
        <v>5</v>
      </c>
      <c r="H98" s="35">
        <v>58</v>
      </c>
      <c r="I98" s="4">
        <v>3</v>
      </c>
      <c r="J98" s="4">
        <v>1</v>
      </c>
      <c r="K98" s="4">
        <v>0</v>
      </c>
      <c r="L98" s="4">
        <v>1</v>
      </c>
      <c r="M98" s="4">
        <v>1</v>
      </c>
      <c r="N98" s="4">
        <v>1</v>
      </c>
      <c r="O98" s="4">
        <v>56</v>
      </c>
    </row>
    <row r="99" spans="1:15" ht="21.75" thickBot="1" x14ac:dyDescent="0.4">
      <c r="A99" s="3" t="s">
        <v>14</v>
      </c>
      <c r="B99" s="4">
        <v>15</v>
      </c>
      <c r="C99" s="4">
        <v>35</v>
      </c>
      <c r="D99" s="4">
        <v>9</v>
      </c>
      <c r="E99" s="4">
        <v>29</v>
      </c>
      <c r="F99" s="4">
        <v>3</v>
      </c>
      <c r="G99" s="4">
        <v>5</v>
      </c>
      <c r="H99" s="35">
        <v>50</v>
      </c>
      <c r="I99" s="4">
        <v>2</v>
      </c>
      <c r="J99" s="4">
        <v>1</v>
      </c>
      <c r="K99" s="4">
        <v>1</v>
      </c>
      <c r="L99" s="4">
        <v>0</v>
      </c>
      <c r="M99" s="4">
        <v>1</v>
      </c>
      <c r="N99" s="4">
        <v>2</v>
      </c>
      <c r="O99" s="4">
        <v>47</v>
      </c>
    </row>
    <row r="100" spans="1:15" ht="21.75" thickBot="1" x14ac:dyDescent="0.4">
      <c r="A100" s="3" t="s">
        <v>15</v>
      </c>
      <c r="B100" s="4">
        <v>5</v>
      </c>
      <c r="C100" s="4">
        <v>1</v>
      </c>
      <c r="D100" s="4">
        <v>5</v>
      </c>
      <c r="E100" s="4">
        <v>1</v>
      </c>
      <c r="F100" s="4">
        <v>0</v>
      </c>
      <c r="G100" s="4">
        <v>0</v>
      </c>
      <c r="H100" s="35">
        <v>6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6</v>
      </c>
    </row>
    <row r="101" spans="1:15" ht="21.75" thickBot="1" x14ac:dyDescent="0.4">
      <c r="A101" s="3" t="s">
        <v>16</v>
      </c>
      <c r="B101" s="4">
        <v>125</v>
      </c>
      <c r="C101" s="4">
        <v>179</v>
      </c>
      <c r="D101" s="4">
        <v>95</v>
      </c>
      <c r="E101" s="4">
        <v>145</v>
      </c>
      <c r="F101" s="4">
        <v>21</v>
      </c>
      <c r="G101" s="4">
        <v>25</v>
      </c>
      <c r="H101" s="35">
        <v>304</v>
      </c>
      <c r="I101" s="4">
        <v>6</v>
      </c>
      <c r="J101" s="4">
        <v>6</v>
      </c>
      <c r="K101" s="4">
        <v>3</v>
      </c>
      <c r="L101" s="4">
        <v>3</v>
      </c>
      <c r="M101" s="4">
        <v>7</v>
      </c>
      <c r="N101" s="4">
        <v>6</v>
      </c>
      <c r="O101" s="4">
        <v>291</v>
      </c>
    </row>
    <row r="103" spans="1:15" ht="21.75" thickBot="1" x14ac:dyDescent="0.4">
      <c r="A103" s="120" t="s">
        <v>64</v>
      </c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</row>
    <row r="104" spans="1:15" ht="15.75" customHeight="1" thickBot="1" x14ac:dyDescent="0.3">
      <c r="A104" s="121" t="s">
        <v>0</v>
      </c>
      <c r="B104" s="123" t="s">
        <v>1</v>
      </c>
      <c r="C104" s="124"/>
      <c r="D104" s="123" t="s">
        <v>2</v>
      </c>
      <c r="E104" s="124"/>
      <c r="F104" s="125" t="s">
        <v>3</v>
      </c>
      <c r="G104" s="126"/>
      <c r="H104" s="127" t="s">
        <v>4</v>
      </c>
      <c r="I104" s="123" t="s">
        <v>5</v>
      </c>
      <c r="J104" s="124"/>
      <c r="K104" s="123" t="s">
        <v>6</v>
      </c>
      <c r="L104" s="124"/>
    </row>
    <row r="105" spans="1:15" ht="15.75" customHeight="1" thickBot="1" x14ac:dyDescent="0.3">
      <c r="A105" s="122"/>
      <c r="B105" s="29" t="s">
        <v>7</v>
      </c>
      <c r="C105" s="29" t="s">
        <v>8</v>
      </c>
      <c r="D105" s="29" t="s">
        <v>7</v>
      </c>
      <c r="E105" s="29" t="s">
        <v>9</v>
      </c>
      <c r="F105" s="29" t="s">
        <v>7</v>
      </c>
      <c r="G105" s="6" t="s">
        <v>9</v>
      </c>
      <c r="H105" s="128"/>
      <c r="I105" s="29" t="s">
        <v>7</v>
      </c>
      <c r="J105" s="29" t="s">
        <v>9</v>
      </c>
      <c r="K105" s="36" t="s">
        <v>7</v>
      </c>
      <c r="L105" s="29" t="s">
        <v>9</v>
      </c>
    </row>
    <row r="106" spans="1:15" ht="21.75" thickBot="1" x14ac:dyDescent="0.4">
      <c r="A106" s="3" t="s">
        <v>10</v>
      </c>
      <c r="B106" s="4">
        <v>15</v>
      </c>
      <c r="C106" s="4">
        <v>23</v>
      </c>
      <c r="D106" s="4">
        <v>15</v>
      </c>
      <c r="E106" s="4">
        <v>21</v>
      </c>
      <c r="F106" s="4">
        <v>0</v>
      </c>
      <c r="G106" s="4">
        <v>0</v>
      </c>
      <c r="H106" s="4">
        <f>SUM(B106:C106)</f>
        <v>38</v>
      </c>
      <c r="I106" s="4">
        <v>0</v>
      </c>
      <c r="J106" s="4">
        <v>0</v>
      </c>
      <c r="K106" s="7">
        <v>0</v>
      </c>
      <c r="L106" s="4">
        <v>2</v>
      </c>
    </row>
    <row r="107" spans="1:15" ht="21.75" thickBot="1" x14ac:dyDescent="0.4">
      <c r="A107" s="3" t="s">
        <v>11</v>
      </c>
      <c r="B107" s="4">
        <v>12</v>
      </c>
      <c r="C107" s="4">
        <v>24</v>
      </c>
      <c r="D107" s="4">
        <v>11</v>
      </c>
      <c r="E107" s="4">
        <v>23</v>
      </c>
      <c r="F107" s="4">
        <v>1</v>
      </c>
      <c r="G107" s="4">
        <v>0</v>
      </c>
      <c r="H107" s="4">
        <f>SUM(B107:C107)</f>
        <v>36</v>
      </c>
      <c r="I107" s="4">
        <v>0</v>
      </c>
      <c r="J107" s="4">
        <v>0</v>
      </c>
      <c r="K107" s="7">
        <v>0</v>
      </c>
      <c r="L107" s="4">
        <v>1</v>
      </c>
    </row>
    <row r="108" spans="1:15" ht="21.75" thickBot="1" x14ac:dyDescent="0.4">
      <c r="A108" s="3" t="s">
        <v>12</v>
      </c>
      <c r="B108" s="4">
        <v>11</v>
      </c>
      <c r="C108" s="4">
        <v>26</v>
      </c>
      <c r="D108" s="4">
        <v>11</v>
      </c>
      <c r="E108" s="4">
        <v>21</v>
      </c>
      <c r="F108" s="4">
        <v>0</v>
      </c>
      <c r="G108" s="4">
        <v>0</v>
      </c>
      <c r="H108" s="4">
        <f t="shared" ref="H108:H113" si="10">SUM(B108:C108)</f>
        <v>37</v>
      </c>
      <c r="I108" s="4">
        <v>0</v>
      </c>
      <c r="J108" s="4">
        <v>3</v>
      </c>
      <c r="K108" s="7">
        <v>0</v>
      </c>
      <c r="L108" s="4">
        <v>2</v>
      </c>
    </row>
    <row r="109" spans="1:15" ht="21.75" thickBot="1" x14ac:dyDescent="0.4">
      <c r="A109" s="3" t="s">
        <v>18</v>
      </c>
      <c r="B109" s="4">
        <v>18</v>
      </c>
      <c r="C109" s="4">
        <v>10</v>
      </c>
      <c r="D109" s="4">
        <v>17</v>
      </c>
      <c r="E109" s="4">
        <v>9</v>
      </c>
      <c r="F109" s="4">
        <v>0</v>
      </c>
      <c r="G109" s="4">
        <v>0</v>
      </c>
      <c r="H109" s="4">
        <f t="shared" si="10"/>
        <v>28</v>
      </c>
      <c r="I109" s="4">
        <v>0</v>
      </c>
      <c r="J109" s="4">
        <v>0</v>
      </c>
      <c r="K109" s="7">
        <v>1</v>
      </c>
      <c r="L109" s="4">
        <v>1</v>
      </c>
    </row>
    <row r="110" spans="1:15" ht="21.75" thickBot="1" x14ac:dyDescent="0.4">
      <c r="A110" s="3" t="s">
        <v>13</v>
      </c>
      <c r="B110" s="4">
        <v>26</v>
      </c>
      <c r="C110" s="4">
        <v>42</v>
      </c>
      <c r="D110" s="4">
        <v>18</v>
      </c>
      <c r="E110" s="4">
        <v>35</v>
      </c>
      <c r="F110" s="4">
        <v>5</v>
      </c>
      <c r="G110" s="4">
        <v>6</v>
      </c>
      <c r="H110" s="4">
        <f t="shared" si="10"/>
        <v>68</v>
      </c>
      <c r="I110" s="4">
        <v>0</v>
      </c>
      <c r="J110" s="4">
        <v>2</v>
      </c>
      <c r="K110" s="7">
        <v>2</v>
      </c>
      <c r="L110" s="4">
        <v>0</v>
      </c>
    </row>
    <row r="111" spans="1:15" ht="21.75" thickBot="1" x14ac:dyDescent="0.4">
      <c r="A111" s="3" t="s">
        <v>63</v>
      </c>
      <c r="B111" s="4">
        <v>13</v>
      </c>
      <c r="C111" s="4">
        <v>23</v>
      </c>
      <c r="D111" s="4">
        <v>11</v>
      </c>
      <c r="E111" s="4">
        <v>12</v>
      </c>
      <c r="F111" s="4">
        <v>2</v>
      </c>
      <c r="G111" s="4">
        <v>11</v>
      </c>
      <c r="H111" s="4">
        <f t="shared" si="10"/>
        <v>36</v>
      </c>
      <c r="I111" s="4">
        <v>0</v>
      </c>
      <c r="J111" s="4">
        <v>0</v>
      </c>
      <c r="K111" s="7">
        <v>0</v>
      </c>
      <c r="L111" s="4">
        <v>0</v>
      </c>
    </row>
    <row r="112" spans="1:15" ht="21.75" thickBot="1" x14ac:dyDescent="0.4">
      <c r="A112" s="3" t="s">
        <v>14</v>
      </c>
      <c r="B112" s="4">
        <v>16</v>
      </c>
      <c r="C112" s="4">
        <v>24</v>
      </c>
      <c r="D112" s="4">
        <v>11</v>
      </c>
      <c r="E112" s="4">
        <v>14</v>
      </c>
      <c r="F112" s="4">
        <v>5</v>
      </c>
      <c r="G112" s="4">
        <v>8</v>
      </c>
      <c r="H112" s="4">
        <f t="shared" si="10"/>
        <v>40</v>
      </c>
      <c r="I112" s="4">
        <v>0</v>
      </c>
      <c r="J112" s="4">
        <v>0</v>
      </c>
      <c r="K112" s="7">
        <v>0</v>
      </c>
      <c r="L112" s="4">
        <v>2</v>
      </c>
    </row>
    <row r="113" spans="1:16" ht="21.75" thickBot="1" x14ac:dyDescent="0.4">
      <c r="A113" s="3" t="s">
        <v>15</v>
      </c>
      <c r="B113" s="4">
        <v>5</v>
      </c>
      <c r="C113" s="4">
        <v>0</v>
      </c>
      <c r="D113" s="4">
        <v>1</v>
      </c>
      <c r="E113" s="4">
        <v>0</v>
      </c>
      <c r="F113" s="4">
        <v>4</v>
      </c>
      <c r="G113" s="4">
        <v>0</v>
      </c>
      <c r="H113" s="4">
        <f t="shared" si="10"/>
        <v>5</v>
      </c>
      <c r="I113" s="4">
        <v>0</v>
      </c>
      <c r="J113" s="4">
        <v>0</v>
      </c>
      <c r="K113" s="7">
        <v>0</v>
      </c>
      <c r="L113" s="4">
        <v>0</v>
      </c>
    </row>
    <row r="114" spans="1:16" ht="21.75" thickBot="1" x14ac:dyDescent="0.4">
      <c r="A114" s="3" t="s">
        <v>16</v>
      </c>
      <c r="B114" s="4">
        <f t="shared" ref="B114:G114" si="11">SUM(B106:B113)</f>
        <v>116</v>
      </c>
      <c r="C114" s="4">
        <f t="shared" si="11"/>
        <v>172</v>
      </c>
      <c r="D114" s="4">
        <f t="shared" si="11"/>
        <v>95</v>
      </c>
      <c r="E114" s="4">
        <f t="shared" si="11"/>
        <v>135</v>
      </c>
      <c r="F114" s="4">
        <f t="shared" si="11"/>
        <v>17</v>
      </c>
      <c r="G114" s="4">
        <f t="shared" si="11"/>
        <v>25</v>
      </c>
      <c r="H114" s="4">
        <f>SUM(H106:H113)</f>
        <v>288</v>
      </c>
      <c r="I114" s="4">
        <f>SUM(I106:I113)</f>
        <v>0</v>
      </c>
      <c r="J114" s="4">
        <f>SUM(J106:J113)</f>
        <v>5</v>
      </c>
      <c r="K114" s="7">
        <f>SUM(K106:K113)</f>
        <v>3</v>
      </c>
      <c r="L114" s="4">
        <f>SUM(L106:L113)</f>
        <v>8</v>
      </c>
    </row>
    <row r="116" spans="1:16" ht="21" x14ac:dyDescent="0.35">
      <c r="A116" s="129" t="s">
        <v>72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</row>
    <row r="117" spans="1:16" ht="15.75" thickBot="1" x14ac:dyDescent="0.3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spans="1:16" ht="15.75" thickBot="1" x14ac:dyDescent="0.3">
      <c r="A118" s="102" t="s">
        <v>0</v>
      </c>
      <c r="B118" s="104" t="s">
        <v>73</v>
      </c>
      <c r="C118" s="106" t="s">
        <v>1</v>
      </c>
      <c r="D118" s="107"/>
      <c r="E118" s="108" t="s">
        <v>2</v>
      </c>
      <c r="F118" s="107"/>
      <c r="G118" s="109" t="s">
        <v>3</v>
      </c>
      <c r="H118" s="110"/>
      <c r="I118" s="113" t="s">
        <v>4</v>
      </c>
      <c r="J118" s="108" t="s">
        <v>5</v>
      </c>
      <c r="K118" s="107"/>
      <c r="L118" s="108" t="s">
        <v>6</v>
      </c>
      <c r="M118" s="107"/>
      <c r="N118" s="108" t="s">
        <v>74</v>
      </c>
      <c r="O118" s="106"/>
      <c r="P118" s="99" t="s">
        <v>59</v>
      </c>
    </row>
    <row r="119" spans="1:16" ht="15.75" thickBot="1" x14ac:dyDescent="0.3">
      <c r="A119" s="103"/>
      <c r="B119" s="105"/>
      <c r="C119" s="47" t="s">
        <v>7</v>
      </c>
      <c r="D119" s="47" t="s">
        <v>8</v>
      </c>
      <c r="E119" s="47" t="s">
        <v>7</v>
      </c>
      <c r="F119" s="47" t="s">
        <v>9</v>
      </c>
      <c r="G119" s="47" t="s">
        <v>7</v>
      </c>
      <c r="H119" s="48" t="s">
        <v>9</v>
      </c>
      <c r="I119" s="114"/>
      <c r="J119" s="47" t="s">
        <v>7</v>
      </c>
      <c r="K119" s="47" t="s">
        <v>9</v>
      </c>
      <c r="L119" s="49" t="s">
        <v>7</v>
      </c>
      <c r="M119" s="47" t="s">
        <v>9</v>
      </c>
      <c r="N119" s="49" t="s">
        <v>7</v>
      </c>
      <c r="O119" s="50" t="s">
        <v>9</v>
      </c>
      <c r="P119" s="100"/>
    </row>
    <row r="120" spans="1:16" ht="24" thickBot="1" x14ac:dyDescent="0.3">
      <c r="A120" s="51" t="s">
        <v>10</v>
      </c>
      <c r="B120" s="52">
        <v>1</v>
      </c>
      <c r="C120" s="52">
        <v>11</v>
      </c>
      <c r="D120" s="52">
        <v>27</v>
      </c>
      <c r="E120" s="52">
        <v>11</v>
      </c>
      <c r="F120" s="52">
        <v>27</v>
      </c>
      <c r="G120" s="52">
        <v>0</v>
      </c>
      <c r="H120" s="52">
        <v>0</v>
      </c>
      <c r="I120" s="52">
        <f>SUM(C120:D120)</f>
        <v>38</v>
      </c>
      <c r="J120" s="52">
        <v>0</v>
      </c>
      <c r="K120" s="52">
        <v>0</v>
      </c>
      <c r="L120" s="53">
        <v>0</v>
      </c>
      <c r="M120" s="52">
        <v>0</v>
      </c>
      <c r="N120" s="53">
        <v>0</v>
      </c>
      <c r="O120" s="54">
        <v>1</v>
      </c>
      <c r="P120" s="55">
        <v>37</v>
      </c>
    </row>
    <row r="121" spans="1:16" ht="24" thickBot="1" x14ac:dyDescent="0.3">
      <c r="A121" s="51" t="s">
        <v>11</v>
      </c>
      <c r="B121" s="52">
        <v>1</v>
      </c>
      <c r="C121" s="52">
        <v>20</v>
      </c>
      <c r="D121" s="52">
        <v>21</v>
      </c>
      <c r="E121" s="52">
        <v>20</v>
      </c>
      <c r="F121" s="52">
        <v>20</v>
      </c>
      <c r="G121" s="52">
        <v>0</v>
      </c>
      <c r="H121" s="52">
        <v>0</v>
      </c>
      <c r="I121" s="52">
        <f>SUM(C121:D121)</f>
        <v>41</v>
      </c>
      <c r="J121" s="52">
        <v>0</v>
      </c>
      <c r="K121" s="52">
        <v>0</v>
      </c>
      <c r="L121" s="53">
        <v>1</v>
      </c>
      <c r="M121" s="52">
        <v>0</v>
      </c>
      <c r="N121" s="53">
        <v>1</v>
      </c>
      <c r="O121" s="54">
        <v>0</v>
      </c>
      <c r="P121" s="55">
        <v>40</v>
      </c>
    </row>
    <row r="122" spans="1:16" ht="24" thickBot="1" x14ac:dyDescent="0.3">
      <c r="A122" s="51" t="s">
        <v>12</v>
      </c>
      <c r="B122" s="52">
        <v>1</v>
      </c>
      <c r="C122" s="52">
        <v>5</v>
      </c>
      <c r="D122" s="52">
        <v>17</v>
      </c>
      <c r="E122" s="52">
        <v>4</v>
      </c>
      <c r="F122" s="52">
        <v>15</v>
      </c>
      <c r="G122" s="52">
        <v>0</v>
      </c>
      <c r="H122" s="52">
        <v>0</v>
      </c>
      <c r="I122" s="52">
        <f t="shared" ref="I122:I127" si="12">SUM(C122:D122)</f>
        <v>22</v>
      </c>
      <c r="J122" s="52">
        <v>1</v>
      </c>
      <c r="K122" s="52">
        <v>2</v>
      </c>
      <c r="L122" s="53">
        <v>0</v>
      </c>
      <c r="M122" s="52">
        <v>0</v>
      </c>
      <c r="N122" s="53">
        <v>0</v>
      </c>
      <c r="O122" s="54">
        <v>0</v>
      </c>
      <c r="P122" s="56">
        <f t="shared" ref="P122:P127" si="13">SUM(C122:D122)</f>
        <v>22</v>
      </c>
    </row>
    <row r="123" spans="1:16" ht="24" thickBot="1" x14ac:dyDescent="0.3">
      <c r="A123" s="57" t="s">
        <v>75</v>
      </c>
      <c r="B123" s="52">
        <v>1</v>
      </c>
      <c r="C123" s="52">
        <v>5</v>
      </c>
      <c r="D123" s="52">
        <v>11</v>
      </c>
      <c r="E123" s="52">
        <v>5</v>
      </c>
      <c r="F123" s="52">
        <v>10</v>
      </c>
      <c r="G123" s="52">
        <v>0</v>
      </c>
      <c r="H123" s="52">
        <v>0</v>
      </c>
      <c r="I123" s="52">
        <f t="shared" si="12"/>
        <v>16</v>
      </c>
      <c r="J123" s="52">
        <v>0</v>
      </c>
      <c r="K123" s="52">
        <v>0</v>
      </c>
      <c r="L123" s="53">
        <v>0</v>
      </c>
      <c r="M123" s="52">
        <v>1</v>
      </c>
      <c r="N123" s="53">
        <v>0</v>
      </c>
      <c r="O123" s="54">
        <v>1</v>
      </c>
      <c r="P123" s="58">
        <v>15</v>
      </c>
    </row>
    <row r="124" spans="1:16" ht="24" thickBot="1" x14ac:dyDescent="0.3">
      <c r="A124" s="51" t="s">
        <v>18</v>
      </c>
      <c r="B124" s="52">
        <v>1</v>
      </c>
      <c r="C124" s="52">
        <v>15</v>
      </c>
      <c r="D124" s="52">
        <v>19</v>
      </c>
      <c r="E124" s="52">
        <v>15</v>
      </c>
      <c r="F124" s="52">
        <v>18</v>
      </c>
      <c r="G124" s="52">
        <v>0</v>
      </c>
      <c r="H124" s="52">
        <v>1</v>
      </c>
      <c r="I124" s="52">
        <f t="shared" si="12"/>
        <v>34</v>
      </c>
      <c r="J124" s="52">
        <v>0</v>
      </c>
      <c r="K124" s="52">
        <v>0</v>
      </c>
      <c r="L124" s="53">
        <v>0</v>
      </c>
      <c r="M124" s="52">
        <v>0</v>
      </c>
      <c r="N124" s="53">
        <v>0</v>
      </c>
      <c r="O124" s="54">
        <v>1</v>
      </c>
      <c r="P124" s="56">
        <v>33</v>
      </c>
    </row>
    <row r="125" spans="1:16" ht="24" thickBot="1" x14ac:dyDescent="0.3">
      <c r="A125" s="51" t="s">
        <v>13</v>
      </c>
      <c r="B125" s="52">
        <v>1</v>
      </c>
      <c r="C125" s="52">
        <v>13</v>
      </c>
      <c r="D125" s="52">
        <v>30</v>
      </c>
      <c r="E125" s="52">
        <v>10</v>
      </c>
      <c r="F125" s="52">
        <v>22</v>
      </c>
      <c r="G125" s="52">
        <v>3</v>
      </c>
      <c r="H125" s="52">
        <v>5</v>
      </c>
      <c r="I125" s="52">
        <f t="shared" si="12"/>
        <v>43</v>
      </c>
      <c r="J125" s="52">
        <v>0</v>
      </c>
      <c r="K125" s="52">
        <v>2</v>
      </c>
      <c r="L125" s="53">
        <v>0</v>
      </c>
      <c r="M125" s="52">
        <v>1</v>
      </c>
      <c r="N125" s="53">
        <v>0</v>
      </c>
      <c r="O125" s="54">
        <v>0</v>
      </c>
      <c r="P125" s="58">
        <v>43</v>
      </c>
    </row>
    <row r="126" spans="1:16" ht="24" thickBot="1" x14ac:dyDescent="0.3">
      <c r="A126" s="51" t="s">
        <v>14</v>
      </c>
      <c r="B126" s="52">
        <v>1</v>
      </c>
      <c r="C126" s="52">
        <f>SUM(E126,G126,J126,L126)</f>
        <v>19</v>
      </c>
      <c r="D126" s="52">
        <f>SUM(F126,H126,K126,M126)</f>
        <v>13</v>
      </c>
      <c r="E126" s="52">
        <v>9</v>
      </c>
      <c r="F126" s="52">
        <v>5</v>
      </c>
      <c r="G126" s="52">
        <v>7</v>
      </c>
      <c r="H126" s="52">
        <v>7</v>
      </c>
      <c r="I126" s="52">
        <f t="shared" si="12"/>
        <v>32</v>
      </c>
      <c r="J126" s="52">
        <v>0</v>
      </c>
      <c r="K126" s="52">
        <v>1</v>
      </c>
      <c r="L126" s="53">
        <v>3</v>
      </c>
      <c r="M126" s="52">
        <v>0</v>
      </c>
      <c r="N126" s="53">
        <v>1</v>
      </c>
      <c r="O126" s="54">
        <v>2</v>
      </c>
      <c r="P126" s="56">
        <v>29</v>
      </c>
    </row>
    <row r="127" spans="1:16" ht="24" thickBot="1" x14ac:dyDescent="0.3">
      <c r="A127" s="51" t="s">
        <v>15</v>
      </c>
      <c r="B127" s="52">
        <v>1</v>
      </c>
      <c r="C127" s="52">
        <v>1</v>
      </c>
      <c r="D127" s="52">
        <v>2</v>
      </c>
      <c r="E127" s="52">
        <v>1</v>
      </c>
      <c r="F127" s="52">
        <v>2</v>
      </c>
      <c r="G127" s="52">
        <v>0</v>
      </c>
      <c r="H127" s="52">
        <v>0</v>
      </c>
      <c r="I127" s="52">
        <f t="shared" si="12"/>
        <v>3</v>
      </c>
      <c r="J127" s="52">
        <v>0</v>
      </c>
      <c r="K127" s="52">
        <v>0</v>
      </c>
      <c r="L127" s="53">
        <v>0</v>
      </c>
      <c r="M127" s="52">
        <v>0</v>
      </c>
      <c r="N127" s="53">
        <v>0</v>
      </c>
      <c r="O127" s="54">
        <v>0</v>
      </c>
      <c r="P127" s="58">
        <f t="shared" si="13"/>
        <v>3</v>
      </c>
    </row>
    <row r="128" spans="1:16" ht="24" thickBot="1" x14ac:dyDescent="0.3">
      <c r="A128" s="51" t="s">
        <v>16</v>
      </c>
      <c r="B128" s="52">
        <f t="shared" ref="B128:D128" si="14">SUM(B120:B127)</f>
        <v>8</v>
      </c>
      <c r="C128" s="52">
        <f>SUM(C120:C127)</f>
        <v>89</v>
      </c>
      <c r="D128" s="52">
        <f t="shared" si="14"/>
        <v>140</v>
      </c>
      <c r="E128" s="52">
        <f>SUM(E120:E127)</f>
        <v>75</v>
      </c>
      <c r="F128" s="52">
        <f>SUM(F120:F127)</f>
        <v>119</v>
      </c>
      <c r="G128" s="52">
        <f>SUM(G120:G127)</f>
        <v>10</v>
      </c>
      <c r="H128" s="52">
        <f>SUM(H120:H127)</f>
        <v>13</v>
      </c>
      <c r="I128" s="52">
        <f>SUM(C128:D128)</f>
        <v>229</v>
      </c>
      <c r="J128" s="52">
        <f t="shared" ref="J128:P128" si="15">SUM(J120:J127)</f>
        <v>1</v>
      </c>
      <c r="K128" s="52">
        <f t="shared" si="15"/>
        <v>5</v>
      </c>
      <c r="L128" s="53">
        <f t="shared" si="15"/>
        <v>4</v>
      </c>
      <c r="M128" s="52">
        <f t="shared" si="15"/>
        <v>2</v>
      </c>
      <c r="N128" s="53">
        <f t="shared" si="15"/>
        <v>2</v>
      </c>
      <c r="O128" s="54">
        <f t="shared" si="15"/>
        <v>5</v>
      </c>
      <c r="P128" s="59">
        <f t="shared" si="15"/>
        <v>222</v>
      </c>
    </row>
    <row r="130" spans="1:18" ht="21" x14ac:dyDescent="0.25">
      <c r="A130" s="101" t="s">
        <v>76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</row>
    <row r="131" spans="1:18" ht="15.75" thickBot="1" x14ac:dyDescent="0.3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</row>
    <row r="132" spans="1:18" ht="15.75" thickBot="1" x14ac:dyDescent="0.3">
      <c r="A132" s="102" t="s">
        <v>0</v>
      </c>
      <c r="B132" s="104" t="s">
        <v>73</v>
      </c>
      <c r="C132" s="106" t="s">
        <v>1</v>
      </c>
      <c r="D132" s="107"/>
      <c r="E132" s="108" t="s">
        <v>2</v>
      </c>
      <c r="F132" s="107"/>
      <c r="G132" s="109" t="s">
        <v>3</v>
      </c>
      <c r="H132" s="110"/>
      <c r="I132" s="111" t="s">
        <v>77</v>
      </c>
      <c r="J132" s="112"/>
      <c r="K132" s="113" t="s">
        <v>4</v>
      </c>
      <c r="L132" s="115" t="s">
        <v>5</v>
      </c>
      <c r="M132" s="116"/>
      <c r="N132" s="115" t="s">
        <v>6</v>
      </c>
      <c r="O132" s="116"/>
      <c r="P132" s="115" t="s">
        <v>74</v>
      </c>
      <c r="Q132" s="117"/>
      <c r="R132" s="118" t="s">
        <v>59</v>
      </c>
    </row>
    <row r="133" spans="1:18" ht="15.75" thickBot="1" x14ac:dyDescent="0.3">
      <c r="A133" s="103"/>
      <c r="B133" s="105"/>
      <c r="C133" s="47" t="s">
        <v>7</v>
      </c>
      <c r="D133" s="47" t="s">
        <v>8</v>
      </c>
      <c r="E133" s="47" t="s">
        <v>7</v>
      </c>
      <c r="F133" s="47" t="s">
        <v>9</v>
      </c>
      <c r="G133" s="47" t="s">
        <v>7</v>
      </c>
      <c r="H133" s="48" t="s">
        <v>9</v>
      </c>
      <c r="I133" s="47" t="s">
        <v>7</v>
      </c>
      <c r="J133" s="48" t="s">
        <v>9</v>
      </c>
      <c r="K133" s="114"/>
      <c r="L133" s="60" t="s">
        <v>7</v>
      </c>
      <c r="M133" s="60" t="s">
        <v>9</v>
      </c>
      <c r="N133" s="61" t="s">
        <v>7</v>
      </c>
      <c r="O133" s="60" t="s">
        <v>9</v>
      </c>
      <c r="P133" s="61" t="s">
        <v>7</v>
      </c>
      <c r="Q133" s="62" t="s">
        <v>9</v>
      </c>
      <c r="R133" s="119"/>
    </row>
    <row r="134" spans="1:18" ht="24" thickBot="1" x14ac:dyDescent="0.3">
      <c r="A134" s="51" t="s">
        <v>10</v>
      </c>
      <c r="B134" s="52">
        <v>1</v>
      </c>
      <c r="C134" s="52">
        <v>18</v>
      </c>
      <c r="D134" s="52">
        <v>28</v>
      </c>
      <c r="E134" s="52">
        <v>18</v>
      </c>
      <c r="F134" s="52">
        <v>28</v>
      </c>
      <c r="G134" s="52">
        <v>0</v>
      </c>
      <c r="H134" s="52">
        <v>0</v>
      </c>
      <c r="I134" s="52">
        <v>0</v>
      </c>
      <c r="J134" s="52">
        <v>0</v>
      </c>
      <c r="K134" s="52">
        <f>SUM(C134:D134)</f>
        <v>46</v>
      </c>
      <c r="L134" s="52">
        <v>0</v>
      </c>
      <c r="M134" s="52">
        <v>0</v>
      </c>
      <c r="N134" s="53">
        <v>0</v>
      </c>
      <c r="O134" s="52">
        <v>0</v>
      </c>
      <c r="P134" s="53">
        <v>2</v>
      </c>
      <c r="Q134" s="54">
        <v>0</v>
      </c>
      <c r="R134" s="55">
        <v>48</v>
      </c>
    </row>
    <row r="135" spans="1:18" ht="24" thickBot="1" x14ac:dyDescent="0.3">
      <c r="A135" s="51" t="s">
        <v>11</v>
      </c>
      <c r="B135" s="52">
        <v>1</v>
      </c>
      <c r="C135" s="52">
        <v>19</v>
      </c>
      <c r="D135" s="52">
        <v>28</v>
      </c>
      <c r="E135" s="52">
        <v>19</v>
      </c>
      <c r="F135" s="52">
        <v>27</v>
      </c>
      <c r="G135" s="52">
        <v>0</v>
      </c>
      <c r="H135" s="52">
        <v>1</v>
      </c>
      <c r="I135" s="52">
        <v>0</v>
      </c>
      <c r="J135" s="52">
        <v>0</v>
      </c>
      <c r="K135" s="52">
        <f>SUM(C135:D135)</f>
        <v>47</v>
      </c>
      <c r="L135" s="52">
        <v>0</v>
      </c>
      <c r="M135" s="52">
        <v>0</v>
      </c>
      <c r="N135" s="53">
        <v>0</v>
      </c>
      <c r="O135" s="52">
        <v>0</v>
      </c>
      <c r="P135" s="53">
        <v>0</v>
      </c>
      <c r="Q135" s="54">
        <v>0</v>
      </c>
      <c r="R135" s="55">
        <v>47</v>
      </c>
    </row>
    <row r="136" spans="1:18" ht="24" thickBot="1" x14ac:dyDescent="0.3">
      <c r="A136" s="51" t="s">
        <v>17</v>
      </c>
      <c r="B136" s="52">
        <v>1</v>
      </c>
      <c r="C136" s="52">
        <v>16</v>
      </c>
      <c r="D136" s="52">
        <v>26</v>
      </c>
      <c r="E136" s="52">
        <v>16</v>
      </c>
      <c r="F136" s="52">
        <v>26</v>
      </c>
      <c r="G136" s="52">
        <v>0</v>
      </c>
      <c r="H136" s="52">
        <v>0</v>
      </c>
      <c r="I136" s="52">
        <v>0</v>
      </c>
      <c r="J136" s="52">
        <v>0</v>
      </c>
      <c r="K136" s="52">
        <f>SUM(C136:D136)</f>
        <v>42</v>
      </c>
      <c r="L136" s="52">
        <v>0</v>
      </c>
      <c r="M136" s="52">
        <v>0</v>
      </c>
      <c r="N136" s="53">
        <v>0</v>
      </c>
      <c r="O136" s="52">
        <v>0</v>
      </c>
      <c r="P136" s="53">
        <v>0</v>
      </c>
      <c r="Q136" s="54">
        <v>1</v>
      </c>
      <c r="R136" s="55">
        <v>43</v>
      </c>
    </row>
    <row r="137" spans="1:18" ht="24" thickBot="1" x14ac:dyDescent="0.3">
      <c r="A137" s="51" t="s">
        <v>12</v>
      </c>
      <c r="B137" s="52">
        <v>1</v>
      </c>
      <c r="C137" s="52">
        <v>9</v>
      </c>
      <c r="D137" s="52">
        <v>17</v>
      </c>
      <c r="E137" s="52">
        <v>9</v>
      </c>
      <c r="F137" s="52">
        <v>15</v>
      </c>
      <c r="G137" s="52">
        <v>0</v>
      </c>
      <c r="H137" s="52">
        <v>0</v>
      </c>
      <c r="I137" s="52">
        <v>0</v>
      </c>
      <c r="J137" s="52">
        <v>0</v>
      </c>
      <c r="K137" s="52">
        <f>SUM(C137:D137)</f>
        <v>26</v>
      </c>
      <c r="L137" s="52">
        <v>0</v>
      </c>
      <c r="M137" s="52">
        <v>1</v>
      </c>
      <c r="N137" s="53">
        <v>0</v>
      </c>
      <c r="O137" s="52">
        <v>1</v>
      </c>
      <c r="P137" s="53">
        <v>0</v>
      </c>
      <c r="Q137" s="54">
        <v>0</v>
      </c>
      <c r="R137" s="56">
        <v>26</v>
      </c>
    </row>
    <row r="138" spans="1:18" ht="24" thickBot="1" x14ac:dyDescent="0.3">
      <c r="A138" s="57" t="s">
        <v>75</v>
      </c>
      <c r="B138" s="52">
        <v>1</v>
      </c>
      <c r="C138" s="52">
        <v>3</v>
      </c>
      <c r="D138" s="52">
        <v>8</v>
      </c>
      <c r="E138" s="52">
        <v>3</v>
      </c>
      <c r="F138" s="52">
        <v>8</v>
      </c>
      <c r="G138" s="52">
        <v>0</v>
      </c>
      <c r="H138" s="52">
        <v>0</v>
      </c>
      <c r="I138" s="52">
        <v>0</v>
      </c>
      <c r="J138" s="52">
        <v>0</v>
      </c>
      <c r="K138" s="52">
        <f t="shared" ref="K138:K142" si="16">SUM(C138:D138)</f>
        <v>11</v>
      </c>
      <c r="L138" s="52">
        <v>0</v>
      </c>
      <c r="M138" s="52">
        <v>0</v>
      </c>
      <c r="N138" s="53">
        <v>0</v>
      </c>
      <c r="O138" s="52">
        <v>0</v>
      </c>
      <c r="P138" s="53">
        <v>0</v>
      </c>
      <c r="Q138" s="54">
        <v>1</v>
      </c>
      <c r="R138" s="58">
        <v>11</v>
      </c>
    </row>
    <row r="139" spans="1:18" ht="24" thickBot="1" x14ac:dyDescent="0.3">
      <c r="A139" s="51" t="s">
        <v>18</v>
      </c>
      <c r="B139" s="52">
        <v>1</v>
      </c>
      <c r="C139" s="52">
        <v>17</v>
      </c>
      <c r="D139" s="52">
        <v>21</v>
      </c>
      <c r="E139" s="52">
        <v>15</v>
      </c>
      <c r="F139" s="52">
        <v>16</v>
      </c>
      <c r="G139" s="52">
        <v>0</v>
      </c>
      <c r="H139" s="52">
        <v>0</v>
      </c>
      <c r="I139" s="52">
        <v>0</v>
      </c>
      <c r="J139" s="52">
        <v>0</v>
      </c>
      <c r="K139" s="52">
        <f t="shared" si="16"/>
        <v>38</v>
      </c>
      <c r="L139" s="52">
        <v>2</v>
      </c>
      <c r="M139" s="52">
        <v>5</v>
      </c>
      <c r="N139" s="53">
        <v>0</v>
      </c>
      <c r="O139" s="52">
        <v>0</v>
      </c>
      <c r="P139" s="53">
        <v>0</v>
      </c>
      <c r="Q139" s="54">
        <v>0</v>
      </c>
      <c r="R139" s="56">
        <v>38</v>
      </c>
    </row>
    <row r="140" spans="1:18" ht="24" thickBot="1" x14ac:dyDescent="0.3">
      <c r="A140" s="51" t="s">
        <v>13</v>
      </c>
      <c r="B140" s="52">
        <v>1</v>
      </c>
      <c r="C140" s="52">
        <v>5</v>
      </c>
      <c r="D140" s="52">
        <v>32</v>
      </c>
      <c r="E140" s="52">
        <v>4</v>
      </c>
      <c r="F140" s="52">
        <v>17</v>
      </c>
      <c r="G140" s="52">
        <v>0</v>
      </c>
      <c r="H140" s="52">
        <v>6</v>
      </c>
      <c r="I140" s="52">
        <v>1</v>
      </c>
      <c r="J140" s="52">
        <v>1</v>
      </c>
      <c r="K140" s="52">
        <f t="shared" si="16"/>
        <v>37</v>
      </c>
      <c r="L140" s="52">
        <v>1</v>
      </c>
      <c r="M140" s="52">
        <v>3</v>
      </c>
      <c r="N140" s="53">
        <v>0</v>
      </c>
      <c r="O140" s="52">
        <v>5</v>
      </c>
      <c r="P140" s="53">
        <v>1</v>
      </c>
      <c r="Q140" s="54">
        <v>0</v>
      </c>
      <c r="R140" s="58">
        <v>38</v>
      </c>
    </row>
    <row r="141" spans="1:18" ht="24" thickBot="1" x14ac:dyDescent="0.3">
      <c r="A141" s="51" t="s">
        <v>63</v>
      </c>
      <c r="B141" s="52">
        <v>1</v>
      </c>
      <c r="C141" s="52">
        <v>18</v>
      </c>
      <c r="D141" s="52">
        <v>14</v>
      </c>
      <c r="E141" s="52">
        <v>13</v>
      </c>
      <c r="F141" s="52">
        <v>13</v>
      </c>
      <c r="G141" s="52">
        <v>2</v>
      </c>
      <c r="H141" s="52">
        <v>0</v>
      </c>
      <c r="I141" s="52">
        <v>0</v>
      </c>
      <c r="J141" s="52">
        <v>1</v>
      </c>
      <c r="K141" s="52">
        <f t="shared" si="16"/>
        <v>32</v>
      </c>
      <c r="L141" s="52">
        <v>2</v>
      </c>
      <c r="M141" s="52">
        <v>0</v>
      </c>
      <c r="N141" s="53">
        <v>1</v>
      </c>
      <c r="O141" s="52">
        <v>0</v>
      </c>
      <c r="P141" s="53">
        <v>0</v>
      </c>
      <c r="Q141" s="54">
        <v>0</v>
      </c>
      <c r="R141" s="56">
        <v>32</v>
      </c>
    </row>
    <row r="142" spans="1:18" ht="24" thickBot="1" x14ac:dyDescent="0.3">
      <c r="A142" s="51" t="s">
        <v>78</v>
      </c>
      <c r="B142" s="52">
        <v>1</v>
      </c>
      <c r="C142" s="52">
        <v>5</v>
      </c>
      <c r="D142" s="52">
        <v>9</v>
      </c>
      <c r="E142" s="52">
        <v>5</v>
      </c>
      <c r="F142" s="52">
        <v>9</v>
      </c>
      <c r="G142" s="52">
        <v>0</v>
      </c>
      <c r="H142" s="52">
        <v>0</v>
      </c>
      <c r="I142" s="52">
        <v>0</v>
      </c>
      <c r="J142" s="52">
        <v>0</v>
      </c>
      <c r="K142" s="52">
        <f t="shared" si="16"/>
        <v>14</v>
      </c>
      <c r="L142" s="52">
        <v>0</v>
      </c>
      <c r="M142" s="52">
        <v>0</v>
      </c>
      <c r="N142" s="53">
        <v>0</v>
      </c>
      <c r="O142" s="52">
        <v>0</v>
      </c>
      <c r="P142" s="53">
        <v>0</v>
      </c>
      <c r="Q142" s="54">
        <v>0</v>
      </c>
      <c r="R142" s="58">
        <v>14</v>
      </c>
    </row>
    <row r="143" spans="1:18" ht="24" thickBot="1" x14ac:dyDescent="0.3">
      <c r="A143" s="51" t="s">
        <v>16</v>
      </c>
      <c r="B143" s="52">
        <f t="shared" ref="B143:J143" si="17">SUM(B134:B142)</f>
        <v>9</v>
      </c>
      <c r="C143" s="52">
        <f>SUM(C134:C142)</f>
        <v>110</v>
      </c>
      <c r="D143" s="52">
        <f t="shared" si="17"/>
        <v>183</v>
      </c>
      <c r="E143" s="52">
        <f t="shared" si="17"/>
        <v>102</v>
      </c>
      <c r="F143" s="52">
        <f t="shared" si="17"/>
        <v>159</v>
      </c>
      <c r="G143" s="52">
        <f t="shared" si="17"/>
        <v>2</v>
      </c>
      <c r="H143" s="52">
        <f>SUM(H134:H142)</f>
        <v>7</v>
      </c>
      <c r="I143" s="52">
        <f t="shared" si="17"/>
        <v>1</v>
      </c>
      <c r="J143" s="52">
        <f t="shared" si="17"/>
        <v>2</v>
      </c>
      <c r="K143" s="52">
        <f>SUM(C143:D143)</f>
        <v>293</v>
      </c>
      <c r="L143" s="52">
        <f t="shared" ref="L143:R143" si="18">SUM(L134:L142)</f>
        <v>5</v>
      </c>
      <c r="M143" s="52">
        <f t="shared" si="18"/>
        <v>9</v>
      </c>
      <c r="N143" s="53">
        <f t="shared" si="18"/>
        <v>1</v>
      </c>
      <c r="O143" s="52">
        <f t="shared" si="18"/>
        <v>6</v>
      </c>
      <c r="P143" s="53">
        <f t="shared" si="18"/>
        <v>3</v>
      </c>
      <c r="Q143" s="54">
        <f t="shared" si="18"/>
        <v>2</v>
      </c>
      <c r="R143" s="59">
        <f t="shared" si="18"/>
        <v>297</v>
      </c>
    </row>
    <row r="146" spans="1:16" ht="21" x14ac:dyDescent="0.25">
      <c r="A146" s="101" t="s">
        <v>79</v>
      </c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</row>
    <row r="147" spans="1:16" ht="15.75" thickBot="1" x14ac:dyDescent="0.3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</row>
    <row r="148" spans="1:16" ht="15.75" thickBot="1" x14ac:dyDescent="0.3">
      <c r="A148" s="102" t="s">
        <v>0</v>
      </c>
      <c r="B148" s="104" t="s">
        <v>73</v>
      </c>
      <c r="C148" s="106" t="s">
        <v>1</v>
      </c>
      <c r="D148" s="107"/>
      <c r="E148" s="108" t="s">
        <v>2</v>
      </c>
      <c r="F148" s="107"/>
      <c r="G148" s="109" t="s">
        <v>3</v>
      </c>
      <c r="H148" s="110"/>
      <c r="I148" s="113" t="s">
        <v>4</v>
      </c>
      <c r="J148" s="115" t="s">
        <v>5</v>
      </c>
      <c r="K148" s="116"/>
      <c r="L148" s="115" t="s">
        <v>6</v>
      </c>
      <c r="M148" s="116"/>
      <c r="N148" s="115" t="s">
        <v>74</v>
      </c>
      <c r="O148" s="117"/>
      <c r="P148" s="118" t="s">
        <v>80</v>
      </c>
    </row>
    <row r="149" spans="1:16" ht="15.75" thickBot="1" x14ac:dyDescent="0.3">
      <c r="A149" s="103"/>
      <c r="B149" s="105"/>
      <c r="C149" s="47" t="s">
        <v>7</v>
      </c>
      <c r="D149" s="47" t="s">
        <v>8</v>
      </c>
      <c r="E149" s="47" t="s">
        <v>7</v>
      </c>
      <c r="F149" s="47" t="s">
        <v>9</v>
      </c>
      <c r="G149" s="47" t="s">
        <v>7</v>
      </c>
      <c r="H149" s="48" t="s">
        <v>9</v>
      </c>
      <c r="I149" s="114"/>
      <c r="J149" s="60" t="s">
        <v>7</v>
      </c>
      <c r="K149" s="60" t="s">
        <v>9</v>
      </c>
      <c r="L149" s="61" t="s">
        <v>7</v>
      </c>
      <c r="M149" s="60" t="s">
        <v>9</v>
      </c>
      <c r="N149" s="61" t="s">
        <v>7</v>
      </c>
      <c r="O149" s="62" t="s">
        <v>9</v>
      </c>
      <c r="P149" s="119"/>
    </row>
    <row r="150" spans="1:16" ht="24" thickBot="1" x14ac:dyDescent="0.3">
      <c r="A150" s="51" t="s">
        <v>10</v>
      </c>
      <c r="B150" s="52">
        <v>1</v>
      </c>
      <c r="C150" s="52">
        <v>27</v>
      </c>
      <c r="D150" s="52">
        <v>22</v>
      </c>
      <c r="E150" s="52">
        <v>25</v>
      </c>
      <c r="F150" s="52">
        <v>21</v>
      </c>
      <c r="G150" s="52">
        <v>2</v>
      </c>
      <c r="H150" s="52">
        <v>1</v>
      </c>
      <c r="I150" s="52">
        <f>SUM(C150:D150)</f>
        <v>49</v>
      </c>
      <c r="J150" s="52">
        <v>0</v>
      </c>
      <c r="K150" s="52">
        <v>0</v>
      </c>
      <c r="L150" s="53">
        <v>0</v>
      </c>
      <c r="M150" s="52">
        <v>0</v>
      </c>
      <c r="N150" s="53">
        <v>0</v>
      </c>
      <c r="O150" s="54">
        <v>0</v>
      </c>
      <c r="P150" s="55">
        <v>49</v>
      </c>
    </row>
    <row r="151" spans="1:16" ht="24" thickBot="1" x14ac:dyDescent="0.3">
      <c r="A151" s="51" t="s">
        <v>11</v>
      </c>
      <c r="B151" s="52">
        <v>1</v>
      </c>
      <c r="C151" s="52">
        <v>25</v>
      </c>
      <c r="D151" s="52">
        <v>24</v>
      </c>
      <c r="E151" s="52">
        <v>24</v>
      </c>
      <c r="F151" s="52">
        <v>23</v>
      </c>
      <c r="G151" s="52">
        <v>0</v>
      </c>
      <c r="H151" s="52">
        <v>2</v>
      </c>
      <c r="I151" s="52">
        <f t="shared" ref="I151:I158" si="19">SUM(C151:D151)</f>
        <v>49</v>
      </c>
      <c r="J151" s="52">
        <v>0</v>
      </c>
      <c r="K151" s="52">
        <v>0</v>
      </c>
      <c r="L151" s="53">
        <v>0</v>
      </c>
      <c r="M151" s="52">
        <v>0</v>
      </c>
      <c r="N151" s="53">
        <v>0</v>
      </c>
      <c r="O151" s="54">
        <v>0</v>
      </c>
      <c r="P151" s="55">
        <v>49</v>
      </c>
    </row>
    <row r="152" spans="1:16" ht="24" thickBot="1" x14ac:dyDescent="0.3">
      <c r="A152" s="51" t="s">
        <v>17</v>
      </c>
      <c r="B152" s="52">
        <v>1</v>
      </c>
      <c r="C152" s="52">
        <v>14</v>
      </c>
      <c r="D152" s="52">
        <v>28</v>
      </c>
      <c r="E152" s="52">
        <v>15</v>
      </c>
      <c r="F152" s="52">
        <v>24</v>
      </c>
      <c r="G152" s="52">
        <v>0</v>
      </c>
      <c r="H152" s="52">
        <v>3</v>
      </c>
      <c r="I152" s="52">
        <f t="shared" si="19"/>
        <v>42</v>
      </c>
      <c r="J152" s="52">
        <v>0</v>
      </c>
      <c r="K152" s="52">
        <v>0</v>
      </c>
      <c r="L152" s="53">
        <v>0</v>
      </c>
      <c r="M152" s="52">
        <v>0</v>
      </c>
      <c r="N152" s="53">
        <v>0</v>
      </c>
      <c r="O152" s="54">
        <v>0</v>
      </c>
      <c r="P152" s="55">
        <v>42</v>
      </c>
    </row>
    <row r="153" spans="1:16" ht="24" thickBot="1" x14ac:dyDescent="0.3">
      <c r="A153" s="51" t="s">
        <v>12</v>
      </c>
      <c r="B153" s="52">
        <v>1</v>
      </c>
      <c r="C153" s="52">
        <v>14</v>
      </c>
      <c r="D153" s="52">
        <v>35</v>
      </c>
      <c r="E153" s="52">
        <v>7</v>
      </c>
      <c r="F153" s="52">
        <v>28</v>
      </c>
      <c r="G153" s="52">
        <v>2</v>
      </c>
      <c r="H153" s="52">
        <v>3</v>
      </c>
      <c r="I153" s="52">
        <f t="shared" si="19"/>
        <v>49</v>
      </c>
      <c r="J153" s="52">
        <v>3</v>
      </c>
      <c r="K153" s="52">
        <v>4</v>
      </c>
      <c r="L153" s="53">
        <v>2</v>
      </c>
      <c r="M153" s="52">
        <v>1</v>
      </c>
      <c r="N153" s="53">
        <v>0</v>
      </c>
      <c r="O153" s="54">
        <v>1</v>
      </c>
      <c r="P153" s="56">
        <v>48</v>
      </c>
    </row>
    <row r="154" spans="1:16" ht="24" thickBot="1" x14ac:dyDescent="0.3">
      <c r="A154" s="57" t="s">
        <v>75</v>
      </c>
      <c r="B154" s="52">
        <v>1</v>
      </c>
      <c r="C154" s="52">
        <v>17</v>
      </c>
      <c r="D154" s="52">
        <v>20</v>
      </c>
      <c r="E154" s="52">
        <v>16</v>
      </c>
      <c r="F154" s="52">
        <v>19</v>
      </c>
      <c r="G154" s="52">
        <v>0</v>
      </c>
      <c r="H154" s="52">
        <v>0</v>
      </c>
      <c r="I154" s="52">
        <f t="shared" si="19"/>
        <v>37</v>
      </c>
      <c r="J154" s="52">
        <v>0</v>
      </c>
      <c r="K154" s="52">
        <v>0</v>
      </c>
      <c r="L154" s="53">
        <v>1</v>
      </c>
      <c r="M154" s="52">
        <v>1</v>
      </c>
      <c r="N154" s="53">
        <v>0</v>
      </c>
      <c r="O154" s="54">
        <v>0</v>
      </c>
      <c r="P154" s="58">
        <v>37</v>
      </c>
    </row>
    <row r="155" spans="1:16" ht="24" thickBot="1" x14ac:dyDescent="0.3">
      <c r="A155" s="51" t="s">
        <v>18</v>
      </c>
      <c r="B155" s="52">
        <v>1</v>
      </c>
      <c r="C155" s="52">
        <v>18</v>
      </c>
      <c r="D155" s="52">
        <v>20</v>
      </c>
      <c r="E155" s="52">
        <v>16</v>
      </c>
      <c r="F155" s="52">
        <v>18</v>
      </c>
      <c r="G155" s="52">
        <v>1</v>
      </c>
      <c r="H155" s="52">
        <v>0</v>
      </c>
      <c r="I155" s="52">
        <f t="shared" si="19"/>
        <v>38</v>
      </c>
      <c r="J155" s="52">
        <v>1</v>
      </c>
      <c r="K155" s="52">
        <v>2</v>
      </c>
      <c r="L155" s="53">
        <v>0</v>
      </c>
      <c r="M155" s="52">
        <v>0</v>
      </c>
      <c r="N155" s="53">
        <v>1</v>
      </c>
      <c r="O155" s="54">
        <v>0</v>
      </c>
      <c r="P155" s="56">
        <v>37</v>
      </c>
    </row>
    <row r="156" spans="1:16" ht="24" thickBot="1" x14ac:dyDescent="0.3">
      <c r="A156" s="51" t="s">
        <v>13</v>
      </c>
      <c r="B156" s="52">
        <v>1</v>
      </c>
      <c r="C156" s="52">
        <v>6</v>
      </c>
      <c r="D156" s="52">
        <v>21</v>
      </c>
      <c r="E156" s="52">
        <v>5</v>
      </c>
      <c r="F156" s="52">
        <v>13</v>
      </c>
      <c r="G156" s="52">
        <v>1</v>
      </c>
      <c r="H156" s="52">
        <v>5</v>
      </c>
      <c r="I156" s="52">
        <f t="shared" si="19"/>
        <v>27</v>
      </c>
      <c r="J156" s="52">
        <v>0</v>
      </c>
      <c r="K156" s="52">
        <v>1</v>
      </c>
      <c r="L156" s="53">
        <v>0</v>
      </c>
      <c r="M156" s="52">
        <v>2</v>
      </c>
      <c r="N156" s="53">
        <v>0</v>
      </c>
      <c r="O156" s="54">
        <v>1</v>
      </c>
      <c r="P156" s="58">
        <v>26</v>
      </c>
    </row>
    <row r="157" spans="1:16" ht="24" thickBot="1" x14ac:dyDescent="0.3">
      <c r="A157" s="51" t="s">
        <v>63</v>
      </c>
      <c r="B157" s="52">
        <v>1</v>
      </c>
      <c r="C157" s="52">
        <v>19</v>
      </c>
      <c r="D157" s="52">
        <v>25</v>
      </c>
      <c r="E157" s="52">
        <v>15</v>
      </c>
      <c r="F157" s="52">
        <v>20</v>
      </c>
      <c r="G157" s="52">
        <v>3</v>
      </c>
      <c r="H157" s="52">
        <v>4</v>
      </c>
      <c r="I157" s="52">
        <f t="shared" si="19"/>
        <v>44</v>
      </c>
      <c r="J157" s="52">
        <v>1</v>
      </c>
      <c r="K157" s="52">
        <v>0</v>
      </c>
      <c r="L157" s="53">
        <v>0</v>
      </c>
      <c r="M157" s="52">
        <v>1</v>
      </c>
      <c r="N157" s="53">
        <v>0</v>
      </c>
      <c r="O157" s="54">
        <v>2</v>
      </c>
      <c r="P157" s="56">
        <v>43</v>
      </c>
    </row>
    <row r="158" spans="1:16" ht="24" thickBot="1" x14ac:dyDescent="0.3">
      <c r="A158" s="51" t="s">
        <v>78</v>
      </c>
      <c r="B158" s="52">
        <v>1</v>
      </c>
      <c r="C158" s="52">
        <v>4</v>
      </c>
      <c r="D158" s="52">
        <v>9</v>
      </c>
      <c r="E158" s="52">
        <v>3</v>
      </c>
      <c r="F158" s="52">
        <v>6</v>
      </c>
      <c r="G158" s="52">
        <v>1</v>
      </c>
      <c r="H158" s="52">
        <v>3</v>
      </c>
      <c r="I158" s="52">
        <f t="shared" si="19"/>
        <v>13</v>
      </c>
      <c r="J158" s="52">
        <v>0</v>
      </c>
      <c r="K158" s="52">
        <v>0</v>
      </c>
      <c r="L158" s="53">
        <v>0</v>
      </c>
      <c r="M158" s="52">
        <v>0</v>
      </c>
      <c r="N158" s="53">
        <v>0</v>
      </c>
      <c r="O158" s="54">
        <v>0</v>
      </c>
      <c r="P158" s="58">
        <v>13</v>
      </c>
    </row>
    <row r="159" spans="1:16" ht="24" thickBot="1" x14ac:dyDescent="0.3">
      <c r="A159" s="51" t="s">
        <v>16</v>
      </c>
      <c r="B159" s="52">
        <f t="shared" ref="B159:F159" si="20">SUM(B150:B158)</f>
        <v>9</v>
      </c>
      <c r="C159" s="52">
        <f>SUM(C150:C158)</f>
        <v>144</v>
      </c>
      <c r="D159" s="52">
        <f t="shared" si="20"/>
        <v>204</v>
      </c>
      <c r="E159" s="52">
        <f t="shared" si="20"/>
        <v>126</v>
      </c>
      <c r="F159" s="52">
        <f t="shared" si="20"/>
        <v>172</v>
      </c>
      <c r="G159" s="52">
        <f>SUM(G150:G158)</f>
        <v>10</v>
      </c>
      <c r="H159" s="52">
        <f>SUM(H150:H158)</f>
        <v>21</v>
      </c>
      <c r="I159" s="56">
        <f>SUM(C159:D159)</f>
        <v>348</v>
      </c>
      <c r="J159" s="52">
        <f>SUM(J150:J158)</f>
        <v>5</v>
      </c>
      <c r="K159" s="52">
        <f t="shared" ref="K159:P159" si="21">SUM(K150:K158)</f>
        <v>7</v>
      </c>
      <c r="L159" s="53">
        <f>SUM(L150:L158)</f>
        <v>3</v>
      </c>
      <c r="M159" s="52">
        <f t="shared" si="21"/>
        <v>5</v>
      </c>
      <c r="N159" s="53">
        <f t="shared" si="21"/>
        <v>1</v>
      </c>
      <c r="O159" s="54">
        <f t="shared" si="21"/>
        <v>4</v>
      </c>
      <c r="P159" s="59">
        <f t="shared" si="21"/>
        <v>344</v>
      </c>
    </row>
    <row r="160" spans="1:16" ht="23.25" x14ac:dyDescent="0.25">
      <c r="A160" s="63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5"/>
    </row>
    <row r="161" spans="1:16" ht="21" x14ac:dyDescent="0.25">
      <c r="A161" s="93" t="s">
        <v>84</v>
      </c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67"/>
      <c r="O161" s="67"/>
    </row>
    <row r="162" spans="1:16" ht="23.25" customHeight="1" x14ac:dyDescent="0.25">
      <c r="A162" s="94" t="s">
        <v>0</v>
      </c>
      <c r="B162" s="94" t="s">
        <v>73</v>
      </c>
      <c r="C162" s="94" t="s">
        <v>1</v>
      </c>
      <c r="D162" s="94"/>
      <c r="E162" s="94" t="s">
        <v>2</v>
      </c>
      <c r="F162" s="94"/>
      <c r="G162" s="95" t="s">
        <v>3</v>
      </c>
      <c r="H162" s="95"/>
      <c r="I162" s="96" t="s">
        <v>4</v>
      </c>
      <c r="J162" s="97" t="s">
        <v>5</v>
      </c>
      <c r="K162" s="97"/>
      <c r="L162" s="97" t="s">
        <v>6</v>
      </c>
      <c r="M162" s="97"/>
      <c r="N162" s="139" t="s">
        <v>89</v>
      </c>
      <c r="O162" s="139"/>
      <c r="P162" s="98" t="s">
        <v>90</v>
      </c>
    </row>
    <row r="163" spans="1:16" x14ac:dyDescent="0.25">
      <c r="A163" s="94"/>
      <c r="B163" s="94"/>
      <c r="C163" s="69" t="s">
        <v>7</v>
      </c>
      <c r="D163" s="69" t="s">
        <v>8</v>
      </c>
      <c r="E163" s="69" t="s">
        <v>7</v>
      </c>
      <c r="F163" s="69" t="s">
        <v>9</v>
      </c>
      <c r="G163" s="69" t="s">
        <v>7</v>
      </c>
      <c r="H163" s="69" t="s">
        <v>9</v>
      </c>
      <c r="I163" s="96"/>
      <c r="J163" s="70" t="s">
        <v>7</v>
      </c>
      <c r="K163" s="70" t="s">
        <v>9</v>
      </c>
      <c r="L163" s="70" t="s">
        <v>7</v>
      </c>
      <c r="M163" s="70" t="s">
        <v>9</v>
      </c>
      <c r="N163" s="70" t="s">
        <v>7</v>
      </c>
      <c r="O163" s="70" t="s">
        <v>9</v>
      </c>
      <c r="P163" s="98"/>
    </row>
    <row r="164" spans="1:16" ht="23.25" x14ac:dyDescent="0.25">
      <c r="A164" s="71" t="s">
        <v>10</v>
      </c>
      <c r="B164" s="72">
        <v>1</v>
      </c>
      <c r="C164" s="72">
        <v>25</v>
      </c>
      <c r="D164" s="72">
        <v>24</v>
      </c>
      <c r="E164" s="72">
        <v>22</v>
      </c>
      <c r="F164" s="72">
        <v>23</v>
      </c>
      <c r="G164" s="72">
        <v>2</v>
      </c>
      <c r="H164" s="72">
        <v>1</v>
      </c>
      <c r="I164" s="72">
        <f>SUM(C164:D164)</f>
        <v>49</v>
      </c>
      <c r="J164" s="72">
        <v>0</v>
      </c>
      <c r="K164" s="72">
        <v>0</v>
      </c>
      <c r="L164" s="72">
        <v>1</v>
      </c>
      <c r="M164" s="72">
        <v>0</v>
      </c>
      <c r="N164" s="72">
        <v>0</v>
      </c>
      <c r="O164" s="72">
        <v>1</v>
      </c>
      <c r="P164" s="81">
        <v>48</v>
      </c>
    </row>
    <row r="165" spans="1:16" ht="23.25" x14ac:dyDescent="0.25">
      <c r="A165" s="71" t="s">
        <v>11</v>
      </c>
      <c r="B165" s="72">
        <v>1</v>
      </c>
      <c r="C165" s="72">
        <v>25</v>
      </c>
      <c r="D165" s="72">
        <v>20</v>
      </c>
      <c r="E165" s="72">
        <v>22</v>
      </c>
      <c r="F165" s="72">
        <v>16</v>
      </c>
      <c r="G165" s="72">
        <v>2</v>
      </c>
      <c r="H165" s="72">
        <v>4</v>
      </c>
      <c r="I165" s="72">
        <f t="shared" ref="I165:I174" si="22">SUM(C165:D165)</f>
        <v>45</v>
      </c>
      <c r="J165" s="72">
        <v>0</v>
      </c>
      <c r="K165" s="72">
        <v>0</v>
      </c>
      <c r="L165" s="72">
        <v>1</v>
      </c>
      <c r="M165" s="72">
        <v>0</v>
      </c>
      <c r="N165" s="72">
        <v>0</v>
      </c>
      <c r="O165" s="72">
        <v>0</v>
      </c>
      <c r="P165" s="81">
        <v>45</v>
      </c>
    </row>
    <row r="166" spans="1:16" ht="23.25" x14ac:dyDescent="0.25">
      <c r="A166" s="71" t="s">
        <v>17</v>
      </c>
      <c r="B166" s="72">
        <v>1</v>
      </c>
      <c r="C166" s="72">
        <v>16</v>
      </c>
      <c r="D166" s="72">
        <v>30</v>
      </c>
      <c r="E166" s="72">
        <v>15</v>
      </c>
      <c r="F166" s="72">
        <v>27</v>
      </c>
      <c r="G166" s="72">
        <v>1</v>
      </c>
      <c r="H166" s="72">
        <v>3</v>
      </c>
      <c r="I166" s="72">
        <f t="shared" si="22"/>
        <v>46</v>
      </c>
      <c r="J166" s="72">
        <v>0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81">
        <v>46</v>
      </c>
    </row>
    <row r="167" spans="1:16" ht="23.25" x14ac:dyDescent="0.25">
      <c r="A167" s="73" t="s">
        <v>85</v>
      </c>
      <c r="B167" s="74">
        <f>SUM(B164:B166)</f>
        <v>3</v>
      </c>
      <c r="C167" s="74">
        <f t="shared" ref="C167:P167" si="23">SUM(C164:C166)</f>
        <v>66</v>
      </c>
      <c r="D167" s="74">
        <f t="shared" si="23"/>
        <v>74</v>
      </c>
      <c r="E167" s="74">
        <f t="shared" si="23"/>
        <v>59</v>
      </c>
      <c r="F167" s="74">
        <f t="shared" si="23"/>
        <v>66</v>
      </c>
      <c r="G167" s="74">
        <f t="shared" si="23"/>
        <v>5</v>
      </c>
      <c r="H167" s="74">
        <f t="shared" si="23"/>
        <v>8</v>
      </c>
      <c r="I167" s="74">
        <f t="shared" si="23"/>
        <v>140</v>
      </c>
      <c r="J167" s="74">
        <f t="shared" si="23"/>
        <v>0</v>
      </c>
      <c r="K167" s="74">
        <f t="shared" si="23"/>
        <v>0</v>
      </c>
      <c r="L167" s="74">
        <f t="shared" si="23"/>
        <v>2</v>
      </c>
      <c r="M167" s="74">
        <f t="shared" si="23"/>
        <v>0</v>
      </c>
      <c r="N167" s="74">
        <f t="shared" si="23"/>
        <v>0</v>
      </c>
      <c r="O167" s="74">
        <f t="shared" si="23"/>
        <v>1</v>
      </c>
      <c r="P167" s="74">
        <f t="shared" si="23"/>
        <v>139</v>
      </c>
    </row>
    <row r="168" spans="1:16" ht="23.25" x14ac:dyDescent="0.25">
      <c r="A168" s="71" t="s">
        <v>12</v>
      </c>
      <c r="B168" s="72">
        <v>1</v>
      </c>
      <c r="C168" s="72">
        <v>15</v>
      </c>
      <c r="D168" s="72">
        <v>31</v>
      </c>
      <c r="E168" s="72">
        <v>10</v>
      </c>
      <c r="F168" s="72">
        <v>24</v>
      </c>
      <c r="G168" s="72">
        <v>3</v>
      </c>
      <c r="H168" s="72">
        <v>4</v>
      </c>
      <c r="I168" s="72">
        <f t="shared" si="22"/>
        <v>46</v>
      </c>
      <c r="J168" s="72">
        <v>2</v>
      </c>
      <c r="K168" s="72">
        <v>1</v>
      </c>
      <c r="L168" s="72">
        <v>0</v>
      </c>
      <c r="M168" s="72">
        <v>2</v>
      </c>
      <c r="N168" s="72">
        <v>0</v>
      </c>
      <c r="O168" s="72">
        <v>1</v>
      </c>
      <c r="P168" s="81">
        <v>45</v>
      </c>
    </row>
    <row r="169" spans="1:16" ht="23.25" x14ac:dyDescent="0.25">
      <c r="A169" s="75" t="s">
        <v>75</v>
      </c>
      <c r="B169" s="72">
        <v>1</v>
      </c>
      <c r="C169" s="72">
        <v>16</v>
      </c>
      <c r="D169" s="72">
        <v>17</v>
      </c>
      <c r="E169" s="72">
        <v>14</v>
      </c>
      <c r="F169" s="72">
        <v>11</v>
      </c>
      <c r="G169" s="72">
        <v>2</v>
      </c>
      <c r="H169" s="72">
        <v>5</v>
      </c>
      <c r="I169" s="72">
        <f t="shared" si="22"/>
        <v>33</v>
      </c>
      <c r="J169" s="72">
        <v>0</v>
      </c>
      <c r="K169" s="72">
        <v>0</v>
      </c>
      <c r="L169" s="72">
        <v>0</v>
      </c>
      <c r="M169" s="72">
        <v>1</v>
      </c>
      <c r="N169" s="72">
        <v>1</v>
      </c>
      <c r="O169" s="72">
        <v>0</v>
      </c>
      <c r="P169" s="81">
        <v>32</v>
      </c>
    </row>
    <row r="170" spans="1:16" ht="23.25" x14ac:dyDescent="0.25">
      <c r="A170" s="71" t="s">
        <v>18</v>
      </c>
      <c r="B170" s="72">
        <v>1</v>
      </c>
      <c r="C170" s="72">
        <v>30</v>
      </c>
      <c r="D170" s="72">
        <v>26</v>
      </c>
      <c r="E170" s="72">
        <v>30</v>
      </c>
      <c r="F170" s="72">
        <v>22</v>
      </c>
      <c r="G170" s="72">
        <v>0</v>
      </c>
      <c r="H170" s="72">
        <v>3</v>
      </c>
      <c r="I170" s="72">
        <f t="shared" si="22"/>
        <v>56</v>
      </c>
      <c r="J170" s="72">
        <v>0</v>
      </c>
      <c r="K170" s="72">
        <v>1</v>
      </c>
      <c r="L170" s="72">
        <v>0</v>
      </c>
      <c r="M170" s="72">
        <v>0</v>
      </c>
      <c r="N170" s="72">
        <v>3</v>
      </c>
      <c r="O170" s="72">
        <v>0</v>
      </c>
      <c r="P170" s="82">
        <v>53</v>
      </c>
    </row>
    <row r="171" spans="1:16" ht="23.25" x14ac:dyDescent="0.25">
      <c r="A171" s="76" t="s">
        <v>86</v>
      </c>
      <c r="B171" s="77">
        <f>SUM(B168:B170)</f>
        <v>3</v>
      </c>
      <c r="C171" s="77">
        <f t="shared" ref="C171:P171" si="24">SUM(C168:C170)</f>
        <v>61</v>
      </c>
      <c r="D171" s="77">
        <f t="shared" si="24"/>
        <v>74</v>
      </c>
      <c r="E171" s="77">
        <f t="shared" si="24"/>
        <v>54</v>
      </c>
      <c r="F171" s="77">
        <f t="shared" si="24"/>
        <v>57</v>
      </c>
      <c r="G171" s="77">
        <f t="shared" si="24"/>
        <v>5</v>
      </c>
      <c r="H171" s="77">
        <f t="shared" si="24"/>
        <v>12</v>
      </c>
      <c r="I171" s="77">
        <f t="shared" si="24"/>
        <v>135</v>
      </c>
      <c r="J171" s="77">
        <f t="shared" si="24"/>
        <v>2</v>
      </c>
      <c r="K171" s="77">
        <f t="shared" si="24"/>
        <v>2</v>
      </c>
      <c r="L171" s="77">
        <f t="shared" si="24"/>
        <v>0</v>
      </c>
      <c r="M171" s="77">
        <f t="shared" si="24"/>
        <v>3</v>
      </c>
      <c r="N171" s="77">
        <f t="shared" si="24"/>
        <v>4</v>
      </c>
      <c r="O171" s="77">
        <f t="shared" si="24"/>
        <v>1</v>
      </c>
      <c r="P171" s="77">
        <f t="shared" si="24"/>
        <v>130</v>
      </c>
    </row>
    <row r="172" spans="1:16" ht="23.25" x14ac:dyDescent="0.25">
      <c r="A172" s="71" t="s">
        <v>13</v>
      </c>
      <c r="B172" s="72">
        <v>1</v>
      </c>
      <c r="C172" s="72">
        <v>6</v>
      </c>
      <c r="D172" s="72">
        <v>16</v>
      </c>
      <c r="E172" s="72">
        <v>2</v>
      </c>
      <c r="F172" s="72">
        <v>10</v>
      </c>
      <c r="G172" s="72">
        <v>0</v>
      </c>
      <c r="H172" s="72">
        <v>2</v>
      </c>
      <c r="I172" s="72">
        <f t="shared" si="22"/>
        <v>22</v>
      </c>
      <c r="J172" s="72">
        <v>3</v>
      </c>
      <c r="K172" s="72">
        <v>3</v>
      </c>
      <c r="L172" s="72">
        <v>1</v>
      </c>
      <c r="M172" s="72">
        <v>1</v>
      </c>
      <c r="N172" s="72">
        <v>0</v>
      </c>
      <c r="O172" s="72">
        <v>0</v>
      </c>
      <c r="P172" s="81">
        <v>22</v>
      </c>
    </row>
    <row r="173" spans="1:16" ht="23.25" x14ac:dyDescent="0.25">
      <c r="A173" s="71" t="s">
        <v>63</v>
      </c>
      <c r="B173" s="72">
        <v>1</v>
      </c>
      <c r="C173" s="72">
        <v>21</v>
      </c>
      <c r="D173" s="72">
        <v>25</v>
      </c>
      <c r="E173" s="72">
        <v>13</v>
      </c>
      <c r="F173" s="72">
        <v>15</v>
      </c>
      <c r="G173" s="72">
        <v>6</v>
      </c>
      <c r="H173" s="72">
        <v>9</v>
      </c>
      <c r="I173" s="72">
        <f t="shared" si="22"/>
        <v>46</v>
      </c>
      <c r="J173" s="72">
        <v>0</v>
      </c>
      <c r="K173" s="72">
        <v>0</v>
      </c>
      <c r="L173" s="72">
        <v>2</v>
      </c>
      <c r="M173" s="72">
        <v>1</v>
      </c>
      <c r="N173" s="72">
        <v>1</v>
      </c>
      <c r="O173" s="72">
        <v>0</v>
      </c>
      <c r="P173" s="81">
        <v>45</v>
      </c>
    </row>
    <row r="174" spans="1:16" ht="23.25" x14ac:dyDescent="0.25">
      <c r="A174" s="71" t="s">
        <v>78</v>
      </c>
      <c r="B174" s="72">
        <v>1</v>
      </c>
      <c r="C174" s="72">
        <v>14</v>
      </c>
      <c r="D174" s="72">
        <v>13</v>
      </c>
      <c r="E174" s="72">
        <v>13</v>
      </c>
      <c r="F174" s="72">
        <v>11</v>
      </c>
      <c r="G174" s="72">
        <v>1</v>
      </c>
      <c r="H174" s="72">
        <v>1</v>
      </c>
      <c r="I174" s="72">
        <f t="shared" si="22"/>
        <v>27</v>
      </c>
      <c r="J174" s="72">
        <v>0</v>
      </c>
      <c r="K174" s="72">
        <v>1</v>
      </c>
      <c r="L174" s="72">
        <v>0</v>
      </c>
      <c r="M174" s="72">
        <v>0</v>
      </c>
      <c r="N174" s="72">
        <v>0</v>
      </c>
      <c r="O174" s="72">
        <v>0</v>
      </c>
      <c r="P174" s="81">
        <v>27</v>
      </c>
    </row>
    <row r="175" spans="1:16" ht="23.25" x14ac:dyDescent="0.25">
      <c r="A175" s="78" t="s">
        <v>87</v>
      </c>
      <c r="B175" s="79">
        <f>SUM(B172:B174)</f>
        <v>3</v>
      </c>
      <c r="C175" s="79">
        <f t="shared" ref="C175:M175" si="25">SUM(C172:C174)</f>
        <v>41</v>
      </c>
      <c r="D175" s="79">
        <f t="shared" si="25"/>
        <v>54</v>
      </c>
      <c r="E175" s="79">
        <f t="shared" si="25"/>
        <v>28</v>
      </c>
      <c r="F175" s="79">
        <f t="shared" si="25"/>
        <v>36</v>
      </c>
      <c r="G175" s="79">
        <f t="shared" si="25"/>
        <v>7</v>
      </c>
      <c r="H175" s="79">
        <f t="shared" si="25"/>
        <v>12</v>
      </c>
      <c r="I175" s="79">
        <f>SUM(I172:I174)</f>
        <v>95</v>
      </c>
      <c r="J175" s="79">
        <f t="shared" si="25"/>
        <v>3</v>
      </c>
      <c r="K175" s="79">
        <f t="shared" si="25"/>
        <v>4</v>
      </c>
      <c r="L175" s="79">
        <f>SUM(L172:L174)</f>
        <v>3</v>
      </c>
      <c r="M175" s="79">
        <f t="shared" si="25"/>
        <v>2</v>
      </c>
      <c r="N175" s="79">
        <f>SUM(N172:N174)</f>
        <v>1</v>
      </c>
      <c r="O175" s="79">
        <f t="shared" ref="O175:P175" si="26">SUM(O172:O174)</f>
        <v>0</v>
      </c>
      <c r="P175" s="79">
        <f t="shared" si="26"/>
        <v>94</v>
      </c>
    </row>
    <row r="176" spans="1:16" ht="37.5" x14ac:dyDescent="0.25">
      <c r="A176" s="75" t="s">
        <v>88</v>
      </c>
      <c r="B176" s="72">
        <f>SUM(B167,B171,B175)</f>
        <v>9</v>
      </c>
      <c r="C176" s="72">
        <f>SUM(C167,C171,C175)</f>
        <v>168</v>
      </c>
      <c r="D176" s="72">
        <f t="shared" ref="D176:M176" si="27">SUM(D167,D171,D175)</f>
        <v>202</v>
      </c>
      <c r="E176" s="72">
        <f t="shared" si="27"/>
        <v>141</v>
      </c>
      <c r="F176" s="72">
        <f t="shared" si="27"/>
        <v>159</v>
      </c>
      <c r="G176" s="72">
        <f t="shared" si="27"/>
        <v>17</v>
      </c>
      <c r="H176" s="72">
        <f t="shared" si="27"/>
        <v>32</v>
      </c>
      <c r="I176" s="72">
        <f t="shared" si="27"/>
        <v>370</v>
      </c>
      <c r="J176" s="72">
        <f t="shared" si="27"/>
        <v>5</v>
      </c>
      <c r="K176" s="72">
        <f t="shared" si="27"/>
        <v>6</v>
      </c>
      <c r="L176" s="72">
        <f>SUM(L167,L171,L175)</f>
        <v>5</v>
      </c>
      <c r="M176" s="72">
        <f t="shared" si="27"/>
        <v>5</v>
      </c>
      <c r="N176" s="72">
        <f>SUM(N167,N171,N175)</f>
        <v>5</v>
      </c>
      <c r="O176" s="72">
        <f t="shared" ref="O176" si="28">SUM(O167,O171,O175)</f>
        <v>2</v>
      </c>
      <c r="P176" s="81">
        <f>P167+P171+P175</f>
        <v>363</v>
      </c>
    </row>
    <row r="177" spans="1:16" ht="23.25" x14ac:dyDescent="0.25">
      <c r="A177" s="63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5"/>
    </row>
    <row r="178" spans="1:16" ht="23.25" x14ac:dyDescent="0.25">
      <c r="A178" s="93" t="s">
        <v>97</v>
      </c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O178" s="39"/>
      <c r="P178" s="65"/>
    </row>
    <row r="179" spans="1:16" ht="23.25" x14ac:dyDescent="0.25">
      <c r="A179" s="94" t="s">
        <v>0</v>
      </c>
      <c r="B179" s="94" t="s">
        <v>73</v>
      </c>
      <c r="C179" s="94" t="s">
        <v>98</v>
      </c>
      <c r="D179" s="94"/>
      <c r="E179" s="94" t="s">
        <v>2</v>
      </c>
      <c r="F179" s="94"/>
      <c r="G179" s="95" t="s">
        <v>99</v>
      </c>
      <c r="H179" s="95"/>
      <c r="I179" s="96" t="s">
        <v>100</v>
      </c>
      <c r="J179" s="97" t="s">
        <v>5</v>
      </c>
      <c r="K179" s="97"/>
      <c r="L179" s="97" t="s">
        <v>101</v>
      </c>
      <c r="M179" s="97"/>
      <c r="N179" s="88" t="s">
        <v>102</v>
      </c>
      <c r="O179" s="89" t="s">
        <v>103</v>
      </c>
      <c r="P179" s="65"/>
    </row>
    <row r="180" spans="1:16" ht="23.25" x14ac:dyDescent="0.25">
      <c r="A180" s="94"/>
      <c r="B180" s="94"/>
      <c r="C180" s="83" t="s">
        <v>82</v>
      </c>
      <c r="D180" s="83" t="s">
        <v>81</v>
      </c>
      <c r="E180" s="83" t="s">
        <v>82</v>
      </c>
      <c r="F180" s="83" t="s">
        <v>81</v>
      </c>
      <c r="G180" s="83" t="s">
        <v>82</v>
      </c>
      <c r="H180" s="83" t="s">
        <v>81</v>
      </c>
      <c r="I180" s="96"/>
      <c r="J180" s="83" t="s">
        <v>82</v>
      </c>
      <c r="K180" s="83" t="s">
        <v>81</v>
      </c>
      <c r="L180" s="83" t="s">
        <v>82</v>
      </c>
      <c r="M180" s="83" t="s">
        <v>81</v>
      </c>
      <c r="N180" s="88"/>
      <c r="O180" s="89"/>
      <c r="P180" s="65"/>
    </row>
    <row r="181" spans="1:16" ht="23.25" x14ac:dyDescent="0.25">
      <c r="A181" s="71" t="s">
        <v>10</v>
      </c>
      <c r="B181" s="72">
        <v>1</v>
      </c>
      <c r="C181" s="72">
        <f>'[1]2nde 1'!J181</f>
        <v>0</v>
      </c>
      <c r="D181" s="72">
        <f>'[1]2nde 1'!K181</f>
        <v>0</v>
      </c>
      <c r="E181" s="72">
        <f>'[1]2nde 1'!L181</f>
        <v>0</v>
      </c>
      <c r="F181" s="72">
        <f>'[1]2nde 1'!M181</f>
        <v>0</v>
      </c>
      <c r="G181" s="72">
        <f>'[1]2nde 1'!N181</f>
        <v>0</v>
      </c>
      <c r="H181" s="72">
        <f>'[1]2nde 1'!O181</f>
        <v>0</v>
      </c>
      <c r="I181" s="72">
        <f>SUM(C181:D181)</f>
        <v>0</v>
      </c>
      <c r="J181" s="72">
        <f>'[1]2nde 1'!P181</f>
        <v>0</v>
      </c>
      <c r="K181" s="72">
        <f>'[1]2nde 1'!Q181</f>
        <v>0</v>
      </c>
      <c r="L181" s="72">
        <f>'[1]2nde 1'!R181</f>
        <v>0</v>
      </c>
      <c r="M181" s="72">
        <f>'[1]2nde 1'!S181</f>
        <v>0</v>
      </c>
      <c r="N181" s="82">
        <v>3</v>
      </c>
      <c r="O181" s="82">
        <v>37</v>
      </c>
      <c r="P181" s="65"/>
    </row>
    <row r="182" spans="1:16" ht="23.25" x14ac:dyDescent="0.25">
      <c r="A182" s="71" t="s">
        <v>11</v>
      </c>
      <c r="B182" s="72">
        <v>1</v>
      </c>
      <c r="C182" s="72">
        <f>'[1]2nde 2'!J181</f>
        <v>0</v>
      </c>
      <c r="D182" s="72">
        <f>'[1]2nde 2'!K181</f>
        <v>0</v>
      </c>
      <c r="E182" s="72">
        <f>'[1]2nde 2'!J181</f>
        <v>0</v>
      </c>
      <c r="F182" s="72">
        <f>'[1]2nde 2'!K181</f>
        <v>0</v>
      </c>
      <c r="G182" s="72">
        <f>'[1]2nde 2'!N181</f>
        <v>0</v>
      </c>
      <c r="H182" s="72">
        <f>'[1]2nde 2'!O181</f>
        <v>0</v>
      </c>
      <c r="I182" s="72">
        <f t="shared" ref="I182:I191" si="29">SUM(C182:D182)</f>
        <v>0</v>
      </c>
      <c r="J182" s="72">
        <f>'[1]2nde 2'!P181</f>
        <v>0</v>
      </c>
      <c r="K182" s="72">
        <f>'[1]2nde 2'!Q181</f>
        <v>0</v>
      </c>
      <c r="L182" s="72">
        <f>'[1]2nde 2'!R181</f>
        <v>0</v>
      </c>
      <c r="M182" s="72">
        <f>'[1]2nde 2'!S181</f>
        <v>0</v>
      </c>
      <c r="N182" s="82">
        <v>3</v>
      </c>
      <c r="O182" s="82">
        <v>42</v>
      </c>
      <c r="P182" s="65"/>
    </row>
    <row r="183" spans="1:16" ht="23.25" x14ac:dyDescent="0.25">
      <c r="A183" s="71" t="s">
        <v>17</v>
      </c>
      <c r="B183" s="72">
        <v>1</v>
      </c>
      <c r="C183" s="72">
        <f>'[1]2nde 3'!J181</f>
        <v>0</v>
      </c>
      <c r="D183" s="72">
        <f>'[1]2nde 3'!K181</f>
        <v>0</v>
      </c>
      <c r="E183" s="72">
        <f>'[1]2nde 3'!J181</f>
        <v>0</v>
      </c>
      <c r="F183" s="72">
        <f>'[1]2nde 3'!M181</f>
        <v>0</v>
      </c>
      <c r="G183" s="72">
        <f>'[1]2nde 3'!N181</f>
        <v>0</v>
      </c>
      <c r="H183" s="72">
        <f>'[1]2nde 3'!O181</f>
        <v>0</v>
      </c>
      <c r="I183" s="72">
        <f t="shared" si="29"/>
        <v>0</v>
      </c>
      <c r="J183" s="72">
        <f>'[1]2nde 3'!P181</f>
        <v>0</v>
      </c>
      <c r="K183" s="72">
        <f>'[1]2nde 3'!Q181</f>
        <v>0</v>
      </c>
      <c r="L183" s="72">
        <f>'[1]2nde 3'!R181</f>
        <v>0</v>
      </c>
      <c r="M183" s="72">
        <f>'[1]2nde 3'!S181</f>
        <v>0</v>
      </c>
      <c r="N183" s="82">
        <v>2</v>
      </c>
      <c r="O183" s="82">
        <v>30</v>
      </c>
      <c r="P183" s="65"/>
    </row>
    <row r="184" spans="1:16" ht="23.25" x14ac:dyDescent="0.25">
      <c r="A184" s="73" t="s">
        <v>85</v>
      </c>
      <c r="B184" s="74">
        <f>SUM(B181:B183)</f>
        <v>3</v>
      </c>
      <c r="C184" s="74">
        <f t="shared" ref="C184:M184" si="30">SUM(C181:C183)</f>
        <v>0</v>
      </c>
      <c r="D184" s="74">
        <f t="shared" si="30"/>
        <v>0</v>
      </c>
      <c r="E184" s="74">
        <f t="shared" si="30"/>
        <v>0</v>
      </c>
      <c r="F184" s="74">
        <f t="shared" si="30"/>
        <v>0</v>
      </c>
      <c r="G184" s="74">
        <f t="shared" si="30"/>
        <v>0</v>
      </c>
      <c r="H184" s="74">
        <f t="shared" si="30"/>
        <v>0</v>
      </c>
      <c r="I184" s="74">
        <f t="shared" si="30"/>
        <v>0</v>
      </c>
      <c r="J184" s="74">
        <f t="shared" si="30"/>
        <v>0</v>
      </c>
      <c r="K184" s="74">
        <f t="shared" si="30"/>
        <v>0</v>
      </c>
      <c r="L184" s="74">
        <f t="shared" si="30"/>
        <v>0</v>
      </c>
      <c r="M184" s="74">
        <f t="shared" si="30"/>
        <v>0</v>
      </c>
      <c r="N184" s="82">
        <f>SUM(N181:N183)</f>
        <v>8</v>
      </c>
      <c r="O184" s="82">
        <f>SUM(O181:O183)</f>
        <v>109</v>
      </c>
      <c r="P184" s="65"/>
    </row>
    <row r="185" spans="1:16" ht="23.25" x14ac:dyDescent="0.25">
      <c r="A185" s="71" t="s">
        <v>12</v>
      </c>
      <c r="B185" s="72">
        <v>1</v>
      </c>
      <c r="C185" s="72">
        <f>'[1]P L'!J181</f>
        <v>0</v>
      </c>
      <c r="D185" s="72">
        <f>'[1]P L'!K181</f>
        <v>0</v>
      </c>
      <c r="E185" s="72">
        <f>'[1]P L'!L181</f>
        <v>0</v>
      </c>
      <c r="F185" s="72">
        <f>'[1]P L'!M181</f>
        <v>0</v>
      </c>
      <c r="G185" s="72">
        <f>'[1]P L'!N181</f>
        <v>0</v>
      </c>
      <c r="H185" s="72">
        <f>'[1]P L'!O181</f>
        <v>0</v>
      </c>
      <c r="I185" s="72">
        <f t="shared" si="29"/>
        <v>0</v>
      </c>
      <c r="J185" s="72">
        <f>'[1]P L'!P181</f>
        <v>0</v>
      </c>
      <c r="K185" s="72">
        <f>'[1]P L'!Q181</f>
        <v>0</v>
      </c>
      <c r="L185" s="72">
        <f>'[1]P L'!R181</f>
        <v>0</v>
      </c>
      <c r="M185" s="72">
        <f>'[1]P L'!S181</f>
        <v>0</v>
      </c>
      <c r="N185" s="82">
        <v>2</v>
      </c>
      <c r="O185" s="82">
        <f>I185-N185</f>
        <v>-2</v>
      </c>
    </row>
    <row r="186" spans="1:16" ht="15" customHeight="1" x14ac:dyDescent="0.25">
      <c r="A186" s="75" t="s">
        <v>75</v>
      </c>
      <c r="B186" s="72">
        <v>1</v>
      </c>
      <c r="C186" s="72">
        <f>'[1]P OSE'!J181</f>
        <v>0</v>
      </c>
      <c r="D186" s="72">
        <f>'[1]P OSE'!K181</f>
        <v>0</v>
      </c>
      <c r="E186" s="72">
        <f>'[1]P OSE'!L181</f>
        <v>0</v>
      </c>
      <c r="F186" s="72">
        <f>'[1]P OSE'!M181</f>
        <v>0</v>
      </c>
      <c r="G186" s="72">
        <f>'[1]P OSE'!N181</f>
        <v>0</v>
      </c>
      <c r="H186" s="72">
        <f>'[1]P OSE'!O181</f>
        <v>0</v>
      </c>
      <c r="I186" s="72">
        <f t="shared" si="29"/>
        <v>0</v>
      </c>
      <c r="J186" s="72">
        <f>'[1]P OSE'!P181</f>
        <v>0</v>
      </c>
      <c r="K186" s="72">
        <f>'[1]P OSE'!Q181</f>
        <v>0</v>
      </c>
      <c r="L186" s="72">
        <f>'[1]P OSE'!R181</f>
        <v>0</v>
      </c>
      <c r="M186" s="72">
        <f>'[1]P OSE'!S181</f>
        <v>0</v>
      </c>
      <c r="N186" s="82">
        <v>2</v>
      </c>
      <c r="O186" s="82">
        <v>14</v>
      </c>
    </row>
    <row r="187" spans="1:16" ht="23.25" x14ac:dyDescent="0.25">
      <c r="A187" s="71" t="s">
        <v>18</v>
      </c>
      <c r="B187" s="72">
        <v>1</v>
      </c>
      <c r="C187" s="72">
        <f>'[1]P S'!J181</f>
        <v>0</v>
      </c>
      <c r="D187" s="72">
        <f>'[1]P S'!K181</f>
        <v>0</v>
      </c>
      <c r="E187" s="72">
        <f>'[1]P S'!L181</f>
        <v>0</v>
      </c>
      <c r="F187" s="72">
        <f>'[1]P S'!M181</f>
        <v>0</v>
      </c>
      <c r="G187" s="72">
        <f>'[1]P S'!N181</f>
        <v>0</v>
      </c>
      <c r="H187" s="72">
        <f>'[1]P S'!O181</f>
        <v>0</v>
      </c>
      <c r="I187" s="72">
        <f t="shared" si="29"/>
        <v>0</v>
      </c>
      <c r="J187" s="72">
        <f>'[1]P S'!P181</f>
        <v>0</v>
      </c>
      <c r="K187" s="72">
        <f>'[1]P S'!Q181</f>
        <v>0</v>
      </c>
      <c r="L187" s="72">
        <f>'[1]P S'!R181</f>
        <v>0</v>
      </c>
      <c r="M187" s="72">
        <f>'[1]P S'!S181</f>
        <v>0</v>
      </c>
      <c r="N187" s="82">
        <v>7</v>
      </c>
      <c r="O187" s="82">
        <f t="shared" ref="O187:O191" si="31">I187-N187</f>
        <v>-7</v>
      </c>
      <c r="P187" s="66"/>
    </row>
    <row r="188" spans="1:16" ht="23.25" x14ac:dyDescent="0.25">
      <c r="A188" s="76" t="s">
        <v>86</v>
      </c>
      <c r="B188" s="77">
        <f>SUM(B185:B187)</f>
        <v>3</v>
      </c>
      <c r="C188" s="77">
        <f t="shared" ref="C188:M188" si="32">SUM(C185:C187)</f>
        <v>0</v>
      </c>
      <c r="D188" s="77">
        <f t="shared" si="32"/>
        <v>0</v>
      </c>
      <c r="E188" s="77">
        <f t="shared" si="32"/>
        <v>0</v>
      </c>
      <c r="F188" s="77">
        <f t="shared" si="32"/>
        <v>0</v>
      </c>
      <c r="G188" s="77">
        <f t="shared" si="32"/>
        <v>0</v>
      </c>
      <c r="H188" s="77">
        <f t="shared" si="32"/>
        <v>0</v>
      </c>
      <c r="I188" s="77">
        <f t="shared" si="32"/>
        <v>0</v>
      </c>
      <c r="J188" s="77">
        <f t="shared" si="32"/>
        <v>0</v>
      </c>
      <c r="K188" s="77">
        <f t="shared" si="32"/>
        <v>0</v>
      </c>
      <c r="L188" s="77">
        <f t="shared" si="32"/>
        <v>0</v>
      </c>
      <c r="M188" s="77">
        <f t="shared" si="32"/>
        <v>0</v>
      </c>
      <c r="N188" s="82">
        <f>SUM(N185:N187)</f>
        <v>11</v>
      </c>
      <c r="O188" s="82">
        <f>SUM(O185:O187)</f>
        <v>5</v>
      </c>
    </row>
    <row r="189" spans="1:16" ht="23.25" x14ac:dyDescent="0.25">
      <c r="A189" s="71" t="s">
        <v>13</v>
      </c>
      <c r="B189" s="72">
        <v>1</v>
      </c>
      <c r="C189" s="72">
        <f>'[1]T L'!J181</f>
        <v>0</v>
      </c>
      <c r="D189" s="72">
        <f>'[1]T L'!K181</f>
        <v>0</v>
      </c>
      <c r="E189" s="72">
        <f>'[1]T L'!L181</f>
        <v>0</v>
      </c>
      <c r="F189" s="72">
        <f>'[1]T L'!M181</f>
        <v>0</v>
      </c>
      <c r="G189" s="72">
        <f>'[1]T L'!N181</f>
        <v>0</v>
      </c>
      <c r="H189" s="72">
        <f>'[1]T L'!O181</f>
        <v>0</v>
      </c>
      <c r="I189" s="72">
        <f t="shared" si="29"/>
        <v>0</v>
      </c>
      <c r="J189" s="72">
        <f>'[1]T L'!P181</f>
        <v>0</v>
      </c>
      <c r="K189" s="72">
        <f>'[1]T L'!Q181</f>
        <v>0</v>
      </c>
      <c r="L189" s="72">
        <f>'[1]T L'!R181</f>
        <v>0</v>
      </c>
      <c r="M189" s="72">
        <f>'[1]T L'!S181</f>
        <v>0</v>
      </c>
      <c r="N189" s="82">
        <v>1</v>
      </c>
      <c r="O189" s="82">
        <v>41</v>
      </c>
    </row>
    <row r="190" spans="1:16" ht="23.25" x14ac:dyDescent="0.25">
      <c r="A190" s="71" t="s">
        <v>63</v>
      </c>
      <c r="B190" s="72">
        <v>1</v>
      </c>
      <c r="C190" s="72">
        <f>'[1]T S'!J181</f>
        <v>0</v>
      </c>
      <c r="D190" s="72">
        <v>15</v>
      </c>
      <c r="E190" s="72">
        <f>'[1]T S'!L181</f>
        <v>0</v>
      </c>
      <c r="F190" s="72">
        <f>'[1]T S'!O181</f>
        <v>0</v>
      </c>
      <c r="G190" s="72">
        <f>'[1]T S'!N181</f>
        <v>0</v>
      </c>
      <c r="H190" s="72">
        <f>'[1]T S'!O181</f>
        <v>0</v>
      </c>
      <c r="I190" s="72">
        <f t="shared" si="29"/>
        <v>15</v>
      </c>
      <c r="J190" s="72">
        <f>'[1]T S'!P181</f>
        <v>0</v>
      </c>
      <c r="K190" s="72">
        <f>'[1]T S'!Q181</f>
        <v>0</v>
      </c>
      <c r="L190" s="72">
        <f>'[1]T S'!R181</f>
        <v>0</v>
      </c>
      <c r="M190" s="72">
        <f>'[1]T S'!S181</f>
        <v>0</v>
      </c>
      <c r="N190" s="82">
        <v>0</v>
      </c>
      <c r="O190" s="82">
        <v>32</v>
      </c>
    </row>
    <row r="191" spans="1:16" ht="23.25" x14ac:dyDescent="0.25">
      <c r="A191" s="71" t="s">
        <v>78</v>
      </c>
      <c r="B191" s="72">
        <v>1</v>
      </c>
      <c r="C191" s="72">
        <f>'[1]T OSE'!J181</f>
        <v>0</v>
      </c>
      <c r="D191" s="72">
        <f>'[1]T OSE'!K181</f>
        <v>0</v>
      </c>
      <c r="E191" s="72">
        <f>'[1]T OSE'!L181</f>
        <v>0</v>
      </c>
      <c r="F191" s="72">
        <f>'[1]T OSE'!M181</f>
        <v>0</v>
      </c>
      <c r="G191" s="72">
        <f>'[1]T OSE'!N181</f>
        <v>0</v>
      </c>
      <c r="H191" s="72">
        <f>'[1]T OSE'!O181</f>
        <v>0</v>
      </c>
      <c r="I191" s="72">
        <f t="shared" si="29"/>
        <v>0</v>
      </c>
      <c r="J191" s="72">
        <f>'[1]T OSE'!P181</f>
        <v>0</v>
      </c>
      <c r="K191" s="72">
        <f>'[1]T OSE'!Q181</f>
        <v>0</v>
      </c>
      <c r="L191" s="72">
        <f>'[1]T OSE'!R181</f>
        <v>0</v>
      </c>
      <c r="M191" s="72">
        <f>'[1]T OSE'!S181</f>
        <v>0</v>
      </c>
      <c r="N191" s="82">
        <v>2</v>
      </c>
      <c r="O191" s="82">
        <f t="shared" si="31"/>
        <v>-2</v>
      </c>
    </row>
    <row r="192" spans="1:16" ht="23.25" x14ac:dyDescent="0.25">
      <c r="A192" s="78" t="s">
        <v>87</v>
      </c>
      <c r="B192" s="79">
        <f>SUM(B189:B191)</f>
        <v>3</v>
      </c>
      <c r="C192" s="79">
        <f>SUM(C189:C191)</f>
        <v>0</v>
      </c>
      <c r="D192" s="79">
        <f t="shared" ref="D192:M192" si="33">SUM(D189:D191)</f>
        <v>15</v>
      </c>
      <c r="E192" s="79">
        <f t="shared" si="33"/>
        <v>0</v>
      </c>
      <c r="F192" s="79">
        <f t="shared" si="33"/>
        <v>0</v>
      </c>
      <c r="G192" s="79">
        <f t="shared" si="33"/>
        <v>0</v>
      </c>
      <c r="H192" s="79">
        <f t="shared" si="33"/>
        <v>0</v>
      </c>
      <c r="I192" s="79">
        <f>SUM(I189:I191)</f>
        <v>15</v>
      </c>
      <c r="J192" s="79">
        <f t="shared" si="33"/>
        <v>0</v>
      </c>
      <c r="K192" s="79">
        <f t="shared" si="33"/>
        <v>0</v>
      </c>
      <c r="L192" s="79">
        <f t="shared" si="33"/>
        <v>0</v>
      </c>
      <c r="M192" s="79">
        <f t="shared" si="33"/>
        <v>0</v>
      </c>
      <c r="N192" s="82">
        <f>SUM(N189:N191)</f>
        <v>3</v>
      </c>
      <c r="O192" s="82">
        <f>SUM(O189:O191)</f>
        <v>71</v>
      </c>
    </row>
    <row r="193" spans="1:15" ht="37.5" x14ac:dyDescent="0.25">
      <c r="A193" s="75" t="s">
        <v>88</v>
      </c>
      <c r="B193" s="72">
        <v>9</v>
      </c>
      <c r="C193" s="72">
        <v>153</v>
      </c>
      <c r="D193" s="72">
        <v>213</v>
      </c>
      <c r="E193" s="72">
        <v>136</v>
      </c>
      <c r="F193" s="72">
        <v>182</v>
      </c>
      <c r="G193" s="72">
        <v>11</v>
      </c>
      <c r="H193" s="72">
        <v>7</v>
      </c>
      <c r="I193" s="72">
        <v>366</v>
      </c>
      <c r="J193" s="72">
        <v>3</v>
      </c>
      <c r="K193" s="72">
        <v>6</v>
      </c>
      <c r="L193" s="72">
        <v>4</v>
      </c>
      <c r="M193" s="72">
        <v>5</v>
      </c>
      <c r="N193" s="82">
        <f>SUM(N181:N192)</f>
        <v>44</v>
      </c>
      <c r="O193" s="82">
        <f>O184+O188+O192</f>
        <v>185</v>
      </c>
    </row>
    <row r="196" spans="1:15" ht="25.5" customHeight="1" x14ac:dyDescent="0.25">
      <c r="A196" s="90" t="s">
        <v>104</v>
      </c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2"/>
    </row>
    <row r="197" spans="1:15" s="66" customFormat="1" ht="30" x14ac:dyDescent="0.25">
      <c r="A197" s="84" t="s">
        <v>0</v>
      </c>
      <c r="B197" s="84" t="s">
        <v>73</v>
      </c>
      <c r="C197" s="84" t="s">
        <v>98</v>
      </c>
      <c r="D197" s="84"/>
      <c r="E197" s="84" t="s">
        <v>2</v>
      </c>
      <c r="F197" s="84"/>
      <c r="G197" s="84" t="s">
        <v>99</v>
      </c>
      <c r="H197" s="84"/>
      <c r="I197" s="87" t="s">
        <v>105</v>
      </c>
      <c r="J197" s="87" t="s">
        <v>5</v>
      </c>
      <c r="K197" s="84"/>
      <c r="L197" s="84" t="s">
        <v>101</v>
      </c>
      <c r="M197" s="84"/>
      <c r="N197" s="84" t="s">
        <v>74</v>
      </c>
      <c r="O197" s="84" t="s">
        <v>103</v>
      </c>
    </row>
    <row r="198" spans="1:15" s="66" customFormat="1" ht="20.25" customHeight="1" x14ac:dyDescent="0.25">
      <c r="A198" s="84"/>
      <c r="B198" s="84"/>
      <c r="C198" s="84" t="s">
        <v>81</v>
      </c>
      <c r="D198" s="84" t="s">
        <v>82</v>
      </c>
      <c r="E198" s="84" t="s">
        <v>81</v>
      </c>
      <c r="F198" s="84" t="s">
        <v>82</v>
      </c>
      <c r="G198" s="84" t="s">
        <v>81</v>
      </c>
      <c r="H198" s="84" t="s">
        <v>82</v>
      </c>
      <c r="I198" s="84"/>
      <c r="J198" s="84" t="s">
        <v>81</v>
      </c>
      <c r="K198" s="84" t="s">
        <v>82</v>
      </c>
      <c r="L198" s="84" t="s">
        <v>81</v>
      </c>
      <c r="M198" s="84" t="s">
        <v>82</v>
      </c>
      <c r="N198" s="84"/>
      <c r="O198" s="84"/>
    </row>
    <row r="199" spans="1:15" ht="18" customHeight="1" x14ac:dyDescent="0.25">
      <c r="A199" s="86" t="s">
        <v>10</v>
      </c>
      <c r="B199" s="86">
        <v>1</v>
      </c>
      <c r="C199" s="86">
        <v>36</v>
      </c>
      <c r="D199" s="86">
        <v>25</v>
      </c>
      <c r="E199" s="86">
        <v>36</v>
      </c>
      <c r="F199" s="86">
        <v>24</v>
      </c>
      <c r="G199" s="86">
        <v>0</v>
      </c>
      <c r="H199" s="86">
        <v>0</v>
      </c>
      <c r="I199" s="86">
        <v>61</v>
      </c>
      <c r="J199" s="86">
        <v>0</v>
      </c>
      <c r="K199" s="86">
        <v>0</v>
      </c>
      <c r="L199" s="86">
        <v>0</v>
      </c>
      <c r="M199" s="86">
        <v>0</v>
      </c>
      <c r="N199" s="86"/>
      <c r="O199" s="86"/>
    </row>
    <row r="200" spans="1:15" ht="18" customHeight="1" x14ac:dyDescent="0.25">
      <c r="A200" s="86" t="s">
        <v>11</v>
      </c>
      <c r="B200" s="86">
        <v>1</v>
      </c>
      <c r="C200" s="86">
        <v>38</v>
      </c>
      <c r="D200" s="86">
        <v>22</v>
      </c>
      <c r="E200" s="86">
        <v>38</v>
      </c>
      <c r="F200" s="86">
        <v>22</v>
      </c>
      <c r="G200" s="86">
        <v>0</v>
      </c>
      <c r="H200" s="86">
        <v>0</v>
      </c>
      <c r="I200" s="86">
        <v>60</v>
      </c>
      <c r="J200" s="86">
        <v>0</v>
      </c>
      <c r="K200" s="86">
        <v>0</v>
      </c>
      <c r="L200" s="86">
        <v>0</v>
      </c>
      <c r="M200" s="86">
        <v>0</v>
      </c>
      <c r="N200" s="86"/>
      <c r="O200" s="86"/>
    </row>
    <row r="201" spans="1:15" ht="18" customHeight="1" x14ac:dyDescent="0.25">
      <c r="A201" s="86" t="s">
        <v>85</v>
      </c>
      <c r="B201" s="86">
        <v>2</v>
      </c>
      <c r="C201" s="86">
        <v>74</v>
      </c>
      <c r="D201" s="86">
        <v>47</v>
      </c>
      <c r="E201" s="86">
        <v>74</v>
      </c>
      <c r="F201" s="86">
        <v>46</v>
      </c>
      <c r="G201" s="86">
        <v>0</v>
      </c>
      <c r="H201" s="86">
        <v>0</v>
      </c>
      <c r="I201" s="86">
        <v>121</v>
      </c>
      <c r="J201" s="86">
        <v>0</v>
      </c>
      <c r="K201" s="86">
        <v>0</v>
      </c>
      <c r="L201" s="86">
        <v>0</v>
      </c>
      <c r="M201" s="86">
        <v>0</v>
      </c>
      <c r="N201" s="86">
        <v>0</v>
      </c>
      <c r="O201" s="86">
        <v>0</v>
      </c>
    </row>
    <row r="202" spans="1:15" ht="18" customHeight="1" x14ac:dyDescent="0.25">
      <c r="A202" s="86" t="s">
        <v>106</v>
      </c>
      <c r="B202" s="86">
        <v>1</v>
      </c>
      <c r="C202" s="86">
        <v>31</v>
      </c>
      <c r="D202" s="86">
        <v>20</v>
      </c>
      <c r="E202" s="86">
        <v>26</v>
      </c>
      <c r="F202" s="86">
        <v>20</v>
      </c>
      <c r="G202" s="86">
        <v>0</v>
      </c>
      <c r="H202" s="86">
        <v>0</v>
      </c>
      <c r="I202" s="86">
        <v>51</v>
      </c>
      <c r="J202" s="86">
        <v>2</v>
      </c>
      <c r="K202" s="86">
        <v>0</v>
      </c>
      <c r="L202" s="86">
        <v>3</v>
      </c>
      <c r="M202" s="86">
        <v>0</v>
      </c>
      <c r="N202" s="86"/>
      <c r="O202" s="86"/>
    </row>
    <row r="203" spans="1:15" ht="18" customHeight="1" x14ac:dyDescent="0.25">
      <c r="A203" s="86" t="s">
        <v>107</v>
      </c>
      <c r="B203" s="86">
        <v>1</v>
      </c>
      <c r="C203" s="86">
        <v>7</v>
      </c>
      <c r="D203" s="86">
        <v>10</v>
      </c>
      <c r="E203" s="86">
        <v>7</v>
      </c>
      <c r="F203" s="86">
        <v>10</v>
      </c>
      <c r="G203" s="86">
        <v>0</v>
      </c>
      <c r="H203" s="86">
        <v>0</v>
      </c>
      <c r="I203" s="86">
        <v>17</v>
      </c>
      <c r="J203" s="86">
        <v>0</v>
      </c>
      <c r="K203" s="86">
        <v>0</v>
      </c>
      <c r="L203" s="86">
        <v>0</v>
      </c>
      <c r="M203" s="86">
        <v>0</v>
      </c>
      <c r="N203" s="86"/>
      <c r="O203" s="86"/>
    </row>
    <row r="204" spans="1:15" ht="18" customHeight="1" x14ac:dyDescent="0.25">
      <c r="A204" s="86" t="s">
        <v>108</v>
      </c>
      <c r="B204" s="86">
        <v>1</v>
      </c>
      <c r="C204" s="86">
        <v>24</v>
      </c>
      <c r="D204" s="86">
        <v>16</v>
      </c>
      <c r="E204" s="86">
        <v>23</v>
      </c>
      <c r="F204" s="86">
        <v>13</v>
      </c>
      <c r="G204" s="86">
        <v>1</v>
      </c>
      <c r="H204" s="86">
        <v>1</v>
      </c>
      <c r="I204" s="86">
        <v>40</v>
      </c>
      <c r="J204" s="86">
        <v>0</v>
      </c>
      <c r="K204" s="86">
        <v>1</v>
      </c>
      <c r="L204" s="86">
        <v>0</v>
      </c>
      <c r="M204" s="86">
        <v>1</v>
      </c>
      <c r="N204" s="86"/>
      <c r="O204" s="86"/>
    </row>
    <row r="205" spans="1:15" ht="18" customHeight="1" x14ac:dyDescent="0.25">
      <c r="A205" s="86" t="s">
        <v>86</v>
      </c>
      <c r="B205" s="86">
        <v>3</v>
      </c>
      <c r="C205" s="86">
        <v>62</v>
      </c>
      <c r="D205" s="86">
        <v>46</v>
      </c>
      <c r="E205" s="86">
        <v>56</v>
      </c>
      <c r="F205" s="86">
        <v>43</v>
      </c>
      <c r="G205" s="86">
        <v>1</v>
      </c>
      <c r="H205" s="86">
        <v>1</v>
      </c>
      <c r="I205" s="86">
        <v>108</v>
      </c>
      <c r="J205" s="86">
        <v>2</v>
      </c>
      <c r="K205" s="86">
        <v>1</v>
      </c>
      <c r="L205" s="86">
        <v>3</v>
      </c>
      <c r="M205" s="86">
        <v>1</v>
      </c>
      <c r="N205" s="86">
        <v>0</v>
      </c>
      <c r="O205" s="86">
        <v>0</v>
      </c>
    </row>
    <row r="206" spans="1:15" ht="18" customHeight="1" x14ac:dyDescent="0.25">
      <c r="A206" s="86" t="s">
        <v>109</v>
      </c>
      <c r="B206" s="86">
        <v>1</v>
      </c>
      <c r="C206" s="86">
        <v>45</v>
      </c>
      <c r="D206" s="86">
        <v>16</v>
      </c>
      <c r="E206" s="86">
        <v>41</v>
      </c>
      <c r="F206" s="86">
        <v>15</v>
      </c>
      <c r="G206" s="86">
        <v>2</v>
      </c>
      <c r="H206" s="86">
        <v>0</v>
      </c>
      <c r="I206" s="86">
        <v>61</v>
      </c>
      <c r="J206" s="86">
        <v>2</v>
      </c>
      <c r="K206" s="86">
        <v>1</v>
      </c>
      <c r="L206" s="86">
        <v>0</v>
      </c>
      <c r="M206" s="86">
        <v>0</v>
      </c>
      <c r="N206" s="86"/>
      <c r="O206" s="86"/>
    </row>
    <row r="207" spans="1:15" ht="18" customHeight="1" x14ac:dyDescent="0.25">
      <c r="A207" s="86" t="s">
        <v>78</v>
      </c>
      <c r="B207" s="86">
        <v>1</v>
      </c>
      <c r="C207" s="86">
        <v>6</v>
      </c>
      <c r="D207" s="86">
        <v>9</v>
      </c>
      <c r="E207" s="86">
        <v>3</v>
      </c>
      <c r="F207" s="86">
        <v>7</v>
      </c>
      <c r="G207" s="86">
        <v>3</v>
      </c>
      <c r="H207" s="86">
        <v>1</v>
      </c>
      <c r="I207" s="86">
        <v>15</v>
      </c>
      <c r="J207" s="86">
        <v>0</v>
      </c>
      <c r="K207" s="86">
        <v>1</v>
      </c>
      <c r="L207" s="86">
        <v>0</v>
      </c>
      <c r="M207" s="86">
        <v>0</v>
      </c>
      <c r="N207" s="86"/>
      <c r="O207" s="86"/>
    </row>
    <row r="208" spans="1:15" ht="18" customHeight="1" x14ac:dyDescent="0.25">
      <c r="A208" s="86" t="s">
        <v>110</v>
      </c>
      <c r="B208" s="86">
        <v>1</v>
      </c>
      <c r="C208" s="86">
        <v>12</v>
      </c>
      <c r="D208" s="86">
        <v>17</v>
      </c>
      <c r="E208" s="86">
        <v>12</v>
      </c>
      <c r="F208" s="86">
        <v>16</v>
      </c>
      <c r="G208" s="86">
        <v>0</v>
      </c>
      <c r="H208" s="86">
        <v>0</v>
      </c>
      <c r="I208" s="86">
        <v>29</v>
      </c>
      <c r="J208" s="86">
        <v>0</v>
      </c>
      <c r="K208" s="86">
        <v>1</v>
      </c>
      <c r="L208" s="86">
        <v>0</v>
      </c>
      <c r="M208" s="86">
        <v>0</v>
      </c>
      <c r="N208" s="86"/>
      <c r="O208" s="86"/>
    </row>
    <row r="209" spans="1:20" ht="18" customHeight="1" x14ac:dyDescent="0.25">
      <c r="A209" s="86" t="s">
        <v>87</v>
      </c>
      <c r="B209" s="86">
        <v>3</v>
      </c>
      <c r="C209" s="86">
        <v>63</v>
      </c>
      <c r="D209" s="86">
        <v>42</v>
      </c>
      <c r="E209" s="86">
        <v>56</v>
      </c>
      <c r="F209" s="86">
        <v>38</v>
      </c>
      <c r="G209" s="86">
        <v>5</v>
      </c>
      <c r="H209" s="86">
        <v>1</v>
      </c>
      <c r="I209" s="86">
        <v>105</v>
      </c>
      <c r="J209" s="86">
        <v>2</v>
      </c>
      <c r="K209" s="86">
        <v>3</v>
      </c>
      <c r="L209" s="86">
        <v>0</v>
      </c>
      <c r="M209" s="86">
        <v>0</v>
      </c>
      <c r="N209" s="86">
        <v>0</v>
      </c>
      <c r="O209" s="86">
        <v>0</v>
      </c>
    </row>
    <row r="210" spans="1:20" ht="18" customHeight="1" x14ac:dyDescent="0.25">
      <c r="A210" s="86" t="s">
        <v>88</v>
      </c>
      <c r="B210" s="86">
        <v>8</v>
      </c>
      <c r="C210" s="86">
        <v>199</v>
      </c>
      <c r="D210" s="86">
        <v>135</v>
      </c>
      <c r="E210" s="86">
        <v>186</v>
      </c>
      <c r="F210" s="86">
        <v>127</v>
      </c>
      <c r="G210" s="86">
        <v>6</v>
      </c>
      <c r="H210" s="86">
        <v>2</v>
      </c>
      <c r="I210" s="86">
        <v>334</v>
      </c>
      <c r="J210" s="86">
        <v>4</v>
      </c>
      <c r="K210" s="86">
        <v>4</v>
      </c>
      <c r="L210" s="86">
        <v>3</v>
      </c>
      <c r="M210" s="86">
        <v>1</v>
      </c>
      <c r="N210" s="86">
        <v>0</v>
      </c>
      <c r="O210" s="86">
        <v>0</v>
      </c>
    </row>
    <row r="214" spans="1:20" ht="21" x14ac:dyDescent="0.25">
      <c r="A214" s="93" t="s">
        <v>111</v>
      </c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</row>
    <row r="215" spans="1:20" ht="15.75" x14ac:dyDescent="0.25">
      <c r="A215" s="139" t="s">
        <v>0</v>
      </c>
      <c r="B215" s="94" t="s">
        <v>73</v>
      </c>
      <c r="C215" s="139" t="s">
        <v>98</v>
      </c>
      <c r="D215" s="139"/>
      <c r="E215" s="139" t="s">
        <v>2</v>
      </c>
      <c r="F215" s="139"/>
      <c r="G215" s="139" t="s">
        <v>112</v>
      </c>
      <c r="H215" s="139"/>
      <c r="I215" s="139" t="s">
        <v>5</v>
      </c>
      <c r="J215" s="139"/>
      <c r="K215" s="139" t="s">
        <v>101</v>
      </c>
      <c r="L215" s="139"/>
      <c r="M215" s="96" t="s">
        <v>105</v>
      </c>
      <c r="N215" s="139" t="s">
        <v>114</v>
      </c>
      <c r="O215" s="139"/>
      <c r="P215" s="139" t="s">
        <v>113</v>
      </c>
      <c r="Q215" s="139"/>
      <c r="R215" s="156" t="s">
        <v>115</v>
      </c>
      <c r="S215" s="157"/>
      <c r="T215" s="158" t="s">
        <v>115</v>
      </c>
    </row>
    <row r="216" spans="1:20" x14ac:dyDescent="0.25">
      <c r="A216" s="139"/>
      <c r="B216" s="94"/>
      <c r="C216" s="159" t="s">
        <v>116</v>
      </c>
      <c r="D216" s="85" t="s">
        <v>82</v>
      </c>
      <c r="E216" s="159" t="s">
        <v>116</v>
      </c>
      <c r="F216" s="85" t="s">
        <v>82</v>
      </c>
      <c r="G216" s="159" t="s">
        <v>116</v>
      </c>
      <c r="H216" s="85" t="s">
        <v>82</v>
      </c>
      <c r="I216" s="159" t="s">
        <v>116</v>
      </c>
      <c r="J216" s="85" t="s">
        <v>82</v>
      </c>
      <c r="K216" s="159" t="s">
        <v>116</v>
      </c>
      <c r="L216" s="85" t="s">
        <v>82</v>
      </c>
      <c r="M216" s="96"/>
      <c r="N216" s="159" t="s">
        <v>116</v>
      </c>
      <c r="O216" s="85" t="s">
        <v>82</v>
      </c>
      <c r="P216" s="159" t="s">
        <v>116</v>
      </c>
      <c r="Q216" s="85" t="s">
        <v>82</v>
      </c>
      <c r="R216" s="159" t="s">
        <v>116</v>
      </c>
      <c r="S216" s="85" t="s">
        <v>82</v>
      </c>
      <c r="T216" s="158"/>
    </row>
    <row r="217" spans="1:20" ht="23.25" x14ac:dyDescent="0.25">
      <c r="A217" s="160" t="s">
        <v>10</v>
      </c>
      <c r="B217" s="72">
        <v>1</v>
      </c>
      <c r="C217" s="72">
        <v>36</v>
      </c>
      <c r="D217" s="72">
        <v>23</v>
      </c>
      <c r="E217" s="72">
        <v>34</v>
      </c>
      <c r="F217" s="72">
        <v>19</v>
      </c>
      <c r="G217" s="72">
        <v>0</v>
      </c>
      <c r="H217" s="72">
        <v>2</v>
      </c>
      <c r="I217" s="72">
        <v>0</v>
      </c>
      <c r="J217" s="72">
        <v>0</v>
      </c>
      <c r="K217" s="72">
        <v>0</v>
      </c>
      <c r="L217" s="72">
        <v>0</v>
      </c>
      <c r="M217" s="72">
        <f>SUM(C217:D217)</f>
        <v>59</v>
      </c>
      <c r="N217" s="72">
        <v>0</v>
      </c>
      <c r="O217" s="72">
        <v>0</v>
      </c>
      <c r="P217" s="72">
        <v>2</v>
      </c>
      <c r="Q217" s="72">
        <v>2</v>
      </c>
      <c r="R217" s="72">
        <v>34</v>
      </c>
      <c r="S217" s="72">
        <v>21</v>
      </c>
      <c r="T217" s="82">
        <f>R217+S217</f>
        <v>55</v>
      </c>
    </row>
    <row r="218" spans="1:20" ht="23.25" x14ac:dyDescent="0.25">
      <c r="A218" s="160" t="s">
        <v>11</v>
      </c>
      <c r="B218" s="72">
        <v>1</v>
      </c>
      <c r="C218" s="72">
        <v>40</v>
      </c>
      <c r="D218" s="72">
        <v>19</v>
      </c>
      <c r="E218" s="72">
        <v>38</v>
      </c>
      <c r="F218" s="72">
        <v>18</v>
      </c>
      <c r="G218" s="72">
        <v>1</v>
      </c>
      <c r="H218" s="72">
        <v>1</v>
      </c>
      <c r="I218" s="72">
        <v>0</v>
      </c>
      <c r="J218" s="72">
        <v>0</v>
      </c>
      <c r="K218" s="72">
        <v>0</v>
      </c>
      <c r="L218" s="72">
        <v>0</v>
      </c>
      <c r="M218" s="72">
        <f>SUM(C218:D218)</f>
        <v>59</v>
      </c>
      <c r="N218" s="72">
        <v>0</v>
      </c>
      <c r="O218" s="72">
        <v>0</v>
      </c>
      <c r="P218" s="72">
        <v>1</v>
      </c>
      <c r="Q218" s="72">
        <v>0</v>
      </c>
      <c r="R218" s="72">
        <v>39</v>
      </c>
      <c r="S218" s="72">
        <v>19</v>
      </c>
      <c r="T218" s="82">
        <f>R218+S218</f>
        <v>58</v>
      </c>
    </row>
    <row r="219" spans="1:20" ht="23.25" x14ac:dyDescent="0.25">
      <c r="A219" s="73" t="s">
        <v>85</v>
      </c>
      <c r="B219" s="74">
        <f t="shared" ref="B219:Q219" si="34">SUM(B217:B218)</f>
        <v>2</v>
      </c>
      <c r="C219" s="74">
        <f t="shared" si="34"/>
        <v>76</v>
      </c>
      <c r="D219" s="74">
        <f t="shared" si="34"/>
        <v>42</v>
      </c>
      <c r="E219" s="74">
        <f t="shared" si="34"/>
        <v>72</v>
      </c>
      <c r="F219" s="74">
        <f t="shared" si="34"/>
        <v>37</v>
      </c>
      <c r="G219" s="74">
        <f t="shared" si="34"/>
        <v>1</v>
      </c>
      <c r="H219" s="74">
        <f>SUM(H217:H218)</f>
        <v>3</v>
      </c>
      <c r="I219" s="74">
        <f t="shared" si="34"/>
        <v>0</v>
      </c>
      <c r="J219" s="74">
        <f t="shared" si="34"/>
        <v>0</v>
      </c>
      <c r="K219" s="74">
        <f t="shared" si="34"/>
        <v>0</v>
      </c>
      <c r="L219" s="74">
        <f t="shared" si="34"/>
        <v>0</v>
      </c>
      <c r="M219" s="74">
        <f>SUM(M217:M218)</f>
        <v>118</v>
      </c>
      <c r="N219" s="74">
        <f t="shared" si="34"/>
        <v>0</v>
      </c>
      <c r="O219" s="74">
        <f t="shared" si="34"/>
        <v>0</v>
      </c>
      <c r="P219" s="74">
        <f t="shared" si="34"/>
        <v>3</v>
      </c>
      <c r="Q219" s="74">
        <f t="shared" si="34"/>
        <v>2</v>
      </c>
      <c r="R219" s="74">
        <f>SUM(R217:R218)</f>
        <v>73</v>
      </c>
      <c r="S219" s="74">
        <f>SUM(S217:S218)</f>
        <v>40</v>
      </c>
      <c r="T219" s="161">
        <f>SUM(T217:T218)</f>
        <v>113</v>
      </c>
    </row>
    <row r="220" spans="1:20" ht="23.25" x14ac:dyDescent="0.25">
      <c r="A220" s="160" t="s">
        <v>106</v>
      </c>
      <c r="B220" s="72">
        <v>1</v>
      </c>
      <c r="C220" s="72">
        <v>39</v>
      </c>
      <c r="D220" s="72">
        <v>15</v>
      </c>
      <c r="E220" s="72">
        <v>33</v>
      </c>
      <c r="F220" s="72">
        <v>15</v>
      </c>
      <c r="G220" s="72">
        <v>0</v>
      </c>
      <c r="H220" s="72">
        <v>0</v>
      </c>
      <c r="I220" s="72">
        <v>0</v>
      </c>
      <c r="J220" s="72">
        <v>0</v>
      </c>
      <c r="K220" s="72">
        <v>2</v>
      </c>
      <c r="L220" s="72">
        <v>0</v>
      </c>
      <c r="M220" s="72">
        <f>SUM(C220:D220)</f>
        <v>54</v>
      </c>
      <c r="N220" s="72">
        <v>0</v>
      </c>
      <c r="O220" s="72">
        <v>0</v>
      </c>
      <c r="P220" s="72">
        <v>4</v>
      </c>
      <c r="Q220" s="72">
        <v>0</v>
      </c>
      <c r="R220" s="72">
        <v>35</v>
      </c>
      <c r="S220" s="72">
        <v>15</v>
      </c>
      <c r="T220" s="82">
        <f>R220+S220</f>
        <v>50</v>
      </c>
    </row>
    <row r="221" spans="1:20" ht="23.25" x14ac:dyDescent="0.25">
      <c r="A221" s="162" t="s">
        <v>107</v>
      </c>
      <c r="B221" s="72">
        <v>1</v>
      </c>
      <c r="C221" s="72">
        <v>11</v>
      </c>
      <c r="D221" s="72">
        <v>3</v>
      </c>
      <c r="E221" s="72">
        <v>9</v>
      </c>
      <c r="F221" s="72">
        <v>2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1</v>
      </c>
      <c r="M221" s="72">
        <f t="shared" ref="M221:M222" si="35">SUM(C221:D221)</f>
        <v>14</v>
      </c>
      <c r="N221" s="72">
        <v>0</v>
      </c>
      <c r="O221" s="72">
        <v>0</v>
      </c>
      <c r="P221" s="72">
        <v>2</v>
      </c>
      <c r="Q221" s="72">
        <v>0</v>
      </c>
      <c r="R221" s="72">
        <v>9</v>
      </c>
      <c r="S221" s="72">
        <v>3</v>
      </c>
      <c r="T221" s="82">
        <f t="shared" ref="T221:T222" si="36">R221+S221</f>
        <v>12</v>
      </c>
    </row>
    <row r="222" spans="1:20" ht="23.25" x14ac:dyDescent="0.25">
      <c r="A222" s="160" t="s">
        <v>108</v>
      </c>
      <c r="B222" s="72">
        <v>1</v>
      </c>
      <c r="C222" s="72">
        <v>14</v>
      </c>
      <c r="D222" s="72">
        <v>13</v>
      </c>
      <c r="E222" s="72">
        <v>11</v>
      </c>
      <c r="F222" s="72">
        <v>11</v>
      </c>
      <c r="G222" s="72">
        <v>1</v>
      </c>
      <c r="H222" s="72">
        <v>0</v>
      </c>
      <c r="I222" s="72">
        <v>0</v>
      </c>
      <c r="J222" s="72">
        <v>0</v>
      </c>
      <c r="K222" s="72">
        <v>0</v>
      </c>
      <c r="L222" s="72">
        <v>0</v>
      </c>
      <c r="M222" s="72">
        <f t="shared" si="35"/>
        <v>27</v>
      </c>
      <c r="N222" s="72">
        <v>0</v>
      </c>
      <c r="O222" s="72">
        <v>0</v>
      </c>
      <c r="P222" s="72">
        <v>2</v>
      </c>
      <c r="Q222" s="72">
        <v>2</v>
      </c>
      <c r="R222" s="72">
        <v>12</v>
      </c>
      <c r="S222" s="72">
        <v>11</v>
      </c>
      <c r="T222" s="82">
        <f t="shared" si="36"/>
        <v>23</v>
      </c>
    </row>
    <row r="223" spans="1:20" ht="23.25" x14ac:dyDescent="0.25">
      <c r="A223" s="76" t="s">
        <v>117</v>
      </c>
      <c r="B223" s="77">
        <f>SUM(B220:B222)</f>
        <v>3</v>
      </c>
      <c r="C223" s="77">
        <f t="shared" ref="C223:Q223" si="37">SUM(C220:C222)</f>
        <v>64</v>
      </c>
      <c r="D223" s="77">
        <f t="shared" si="37"/>
        <v>31</v>
      </c>
      <c r="E223" s="77">
        <f t="shared" si="37"/>
        <v>53</v>
      </c>
      <c r="F223" s="77">
        <f t="shared" si="37"/>
        <v>28</v>
      </c>
      <c r="G223" s="77">
        <f t="shared" si="37"/>
        <v>1</v>
      </c>
      <c r="H223" s="77">
        <f t="shared" si="37"/>
        <v>0</v>
      </c>
      <c r="I223" s="77">
        <f t="shared" si="37"/>
        <v>0</v>
      </c>
      <c r="J223" s="77">
        <f t="shared" si="37"/>
        <v>0</v>
      </c>
      <c r="K223" s="77">
        <f t="shared" si="37"/>
        <v>2</v>
      </c>
      <c r="L223" s="77">
        <f t="shared" si="37"/>
        <v>1</v>
      </c>
      <c r="M223" s="77">
        <f>SUM(M220:M222)</f>
        <v>95</v>
      </c>
      <c r="N223" s="77">
        <f t="shared" si="37"/>
        <v>0</v>
      </c>
      <c r="O223" s="77">
        <f t="shared" si="37"/>
        <v>0</v>
      </c>
      <c r="P223" s="77">
        <f t="shared" si="37"/>
        <v>8</v>
      </c>
      <c r="Q223" s="77">
        <f t="shared" si="37"/>
        <v>2</v>
      </c>
      <c r="R223" s="77">
        <f>SUM(R220:R222)</f>
        <v>56</v>
      </c>
      <c r="S223" s="77">
        <f>SUM(S220:S222)</f>
        <v>29</v>
      </c>
      <c r="T223" s="163">
        <f>SUM(T220:T222)</f>
        <v>85</v>
      </c>
    </row>
    <row r="224" spans="1:20" ht="23.25" x14ac:dyDescent="0.25">
      <c r="A224" s="160" t="s">
        <v>109</v>
      </c>
      <c r="B224" s="72">
        <v>1</v>
      </c>
      <c r="C224" s="72">
        <v>26</v>
      </c>
      <c r="D224" s="72">
        <v>16</v>
      </c>
      <c r="E224" s="72">
        <v>19</v>
      </c>
      <c r="F224" s="72">
        <v>12</v>
      </c>
      <c r="G224" s="72">
        <v>3</v>
      </c>
      <c r="H224" s="72">
        <v>2</v>
      </c>
      <c r="I224" s="72">
        <v>1</v>
      </c>
      <c r="J224" s="72">
        <v>1</v>
      </c>
      <c r="K224" s="72">
        <v>2</v>
      </c>
      <c r="L224" s="72">
        <v>0</v>
      </c>
      <c r="M224" s="72">
        <f>SUM(C224:D224)</f>
        <v>42</v>
      </c>
      <c r="N224" s="72">
        <v>0</v>
      </c>
      <c r="O224" s="72">
        <v>0</v>
      </c>
      <c r="P224" s="72">
        <v>1</v>
      </c>
      <c r="Q224" s="72">
        <v>1</v>
      </c>
      <c r="R224" s="72">
        <v>25</v>
      </c>
      <c r="S224" s="72">
        <v>15</v>
      </c>
      <c r="T224" s="82">
        <f>R224+S224</f>
        <v>40</v>
      </c>
    </row>
    <row r="225" spans="1:20" ht="23.25" x14ac:dyDescent="0.25">
      <c r="A225" s="160" t="s">
        <v>78</v>
      </c>
      <c r="B225" s="72">
        <v>1</v>
      </c>
      <c r="C225" s="72">
        <v>6</v>
      </c>
      <c r="D225" s="72">
        <v>10</v>
      </c>
      <c r="E225" s="72">
        <v>4</v>
      </c>
      <c r="F225" s="72">
        <v>9</v>
      </c>
      <c r="G225" s="72">
        <v>0</v>
      </c>
      <c r="H225" s="72">
        <v>0</v>
      </c>
      <c r="I225" s="72">
        <v>0</v>
      </c>
      <c r="J225" s="72">
        <v>0</v>
      </c>
      <c r="K225" s="72">
        <v>2</v>
      </c>
      <c r="L225" s="72">
        <v>0</v>
      </c>
      <c r="M225" s="72">
        <f t="shared" ref="M225:M226" si="38">SUM(C225:D225)</f>
        <v>16</v>
      </c>
      <c r="N225" s="72">
        <v>0</v>
      </c>
      <c r="O225" s="72">
        <v>0</v>
      </c>
      <c r="P225" s="72">
        <v>0</v>
      </c>
      <c r="Q225" s="72">
        <v>1</v>
      </c>
      <c r="R225" s="72">
        <v>6</v>
      </c>
      <c r="S225" s="72">
        <v>9</v>
      </c>
      <c r="T225" s="82">
        <f t="shared" ref="T225" si="39">R225+S225</f>
        <v>15</v>
      </c>
    </row>
    <row r="226" spans="1:20" ht="23.25" x14ac:dyDescent="0.25">
      <c r="A226" s="160" t="s">
        <v>110</v>
      </c>
      <c r="B226" s="72">
        <v>1</v>
      </c>
      <c r="C226" s="72">
        <v>21</v>
      </c>
      <c r="D226" s="72">
        <v>19</v>
      </c>
      <c r="E226" s="72">
        <v>16</v>
      </c>
      <c r="F226" s="72">
        <v>11</v>
      </c>
      <c r="G226" s="72">
        <v>2</v>
      </c>
      <c r="H226" s="72">
        <v>8</v>
      </c>
      <c r="I226" s="72">
        <v>0</v>
      </c>
      <c r="J226" s="72">
        <v>0</v>
      </c>
      <c r="K226" s="72">
        <v>0</v>
      </c>
      <c r="L226" s="72">
        <v>0</v>
      </c>
      <c r="M226" s="72">
        <f t="shared" si="38"/>
        <v>40</v>
      </c>
      <c r="N226" s="72">
        <v>0</v>
      </c>
      <c r="O226" s="72">
        <v>0</v>
      </c>
      <c r="P226" s="72">
        <v>3</v>
      </c>
      <c r="Q226" s="72">
        <v>0</v>
      </c>
      <c r="R226" s="72">
        <v>18</v>
      </c>
      <c r="S226" s="72">
        <v>19</v>
      </c>
      <c r="T226" s="82">
        <f>R226+S226</f>
        <v>37</v>
      </c>
    </row>
    <row r="227" spans="1:20" ht="23.25" x14ac:dyDescent="0.25">
      <c r="A227" s="164" t="s">
        <v>87</v>
      </c>
      <c r="B227" s="165">
        <f>SUM(B224:B226)</f>
        <v>3</v>
      </c>
      <c r="C227" s="165">
        <f>SUM(C224:C226)</f>
        <v>53</v>
      </c>
      <c r="D227" s="165">
        <f t="shared" ref="D227:S227" si="40">SUM(D224:D226)</f>
        <v>45</v>
      </c>
      <c r="E227" s="165">
        <f t="shared" si="40"/>
        <v>39</v>
      </c>
      <c r="F227" s="165">
        <f t="shared" si="40"/>
        <v>32</v>
      </c>
      <c r="G227" s="165">
        <f t="shared" si="40"/>
        <v>5</v>
      </c>
      <c r="H227" s="165">
        <f t="shared" si="40"/>
        <v>10</v>
      </c>
      <c r="I227" s="165">
        <f t="shared" si="40"/>
        <v>1</v>
      </c>
      <c r="J227" s="165">
        <f t="shared" si="40"/>
        <v>1</v>
      </c>
      <c r="K227" s="165">
        <f t="shared" si="40"/>
        <v>4</v>
      </c>
      <c r="L227" s="165">
        <f t="shared" si="40"/>
        <v>0</v>
      </c>
      <c r="M227" s="165">
        <f>SUM(M224:M226)</f>
        <v>98</v>
      </c>
      <c r="N227" s="165">
        <f t="shared" si="40"/>
        <v>0</v>
      </c>
      <c r="O227" s="165">
        <f t="shared" si="40"/>
        <v>0</v>
      </c>
      <c r="P227" s="165">
        <f t="shared" si="40"/>
        <v>4</v>
      </c>
      <c r="Q227" s="165">
        <f t="shared" si="40"/>
        <v>2</v>
      </c>
      <c r="R227" s="165">
        <f t="shared" si="40"/>
        <v>49</v>
      </c>
      <c r="S227" s="165">
        <f t="shared" si="40"/>
        <v>43</v>
      </c>
      <c r="T227" s="166">
        <f>SUM(T224:T226)</f>
        <v>92</v>
      </c>
    </row>
    <row r="228" spans="1:20" ht="37.5" x14ac:dyDescent="0.25">
      <c r="A228" s="75" t="s">
        <v>88</v>
      </c>
      <c r="B228" s="72">
        <f>B219+B223+B227</f>
        <v>8</v>
      </c>
      <c r="C228" s="72">
        <f>C219+C223+C227</f>
        <v>193</v>
      </c>
      <c r="D228" s="72">
        <f t="shared" ref="D228:K228" si="41">D219+D223+D227</f>
        <v>118</v>
      </c>
      <c r="E228" s="72">
        <f t="shared" si="41"/>
        <v>164</v>
      </c>
      <c r="F228" s="72">
        <f t="shared" si="41"/>
        <v>97</v>
      </c>
      <c r="G228" s="72">
        <f t="shared" si="41"/>
        <v>7</v>
      </c>
      <c r="H228" s="72">
        <f t="shared" si="41"/>
        <v>13</v>
      </c>
      <c r="I228" s="72">
        <f t="shared" si="41"/>
        <v>1</v>
      </c>
      <c r="J228" s="72">
        <f t="shared" si="41"/>
        <v>1</v>
      </c>
      <c r="K228" s="72">
        <f t="shared" si="41"/>
        <v>6</v>
      </c>
      <c r="L228" s="72">
        <f>L219+L223+L227</f>
        <v>1</v>
      </c>
      <c r="M228" s="72">
        <f>M219+M223+M227</f>
        <v>311</v>
      </c>
      <c r="N228" s="82">
        <f t="shared" ref="N228:O228" si="42">N219+N223+N227</f>
        <v>0</v>
      </c>
      <c r="O228" s="82">
        <f t="shared" si="42"/>
        <v>0</v>
      </c>
      <c r="P228" s="82">
        <f>P219+P223+P227</f>
        <v>15</v>
      </c>
      <c r="Q228" s="82">
        <f>Q219+Q223+Q227</f>
        <v>6</v>
      </c>
      <c r="R228" s="82">
        <f t="shared" ref="R228:S228" si="43">R219+R223+R227</f>
        <v>178</v>
      </c>
      <c r="S228" s="82">
        <f t="shared" si="43"/>
        <v>112</v>
      </c>
      <c r="T228" s="82">
        <f>T219+T223+T227</f>
        <v>290</v>
      </c>
    </row>
  </sheetData>
  <mergeCells count="143">
    <mergeCell ref="A214:T214"/>
    <mergeCell ref="A215:A216"/>
    <mergeCell ref="B215:B216"/>
    <mergeCell ref="C215:D215"/>
    <mergeCell ref="E215:F215"/>
    <mergeCell ref="G215:H215"/>
    <mergeCell ref="I215:J215"/>
    <mergeCell ref="K215:L215"/>
    <mergeCell ref="M215:M216"/>
    <mergeCell ref="N215:O215"/>
    <mergeCell ref="P215:Q215"/>
    <mergeCell ref="R215:S215"/>
    <mergeCell ref="T215:T216"/>
    <mergeCell ref="P148:P149"/>
    <mergeCell ref="A161:M161"/>
    <mergeCell ref="A162:A163"/>
    <mergeCell ref="B162:B163"/>
    <mergeCell ref="C162:D162"/>
    <mergeCell ref="E162:F162"/>
    <mergeCell ref="G162:H162"/>
    <mergeCell ref="I162:I163"/>
    <mergeCell ref="J162:K162"/>
    <mergeCell ref="L162:M162"/>
    <mergeCell ref="N162:O162"/>
    <mergeCell ref="A148:A149"/>
    <mergeCell ref="B148:B149"/>
    <mergeCell ref="C148:D148"/>
    <mergeCell ref="E148:F148"/>
    <mergeCell ref="G148:H148"/>
    <mergeCell ref="I148:I149"/>
    <mergeCell ref="J148:K148"/>
    <mergeCell ref="L148:M148"/>
    <mergeCell ref="N148:O148"/>
    <mergeCell ref="K65:L65"/>
    <mergeCell ref="A45:L45"/>
    <mergeCell ref="A46:A47"/>
    <mergeCell ref="B46:C46"/>
    <mergeCell ref="D46:E46"/>
    <mergeCell ref="F46:G46"/>
    <mergeCell ref="H46:H47"/>
    <mergeCell ref="I46:J46"/>
    <mergeCell ref="K46:L46"/>
    <mergeCell ref="I77:J77"/>
    <mergeCell ref="K77:L77"/>
    <mergeCell ref="A76:L76"/>
    <mergeCell ref="A1:L1"/>
    <mergeCell ref="A77:A78"/>
    <mergeCell ref="B77:C77"/>
    <mergeCell ref="D77:E77"/>
    <mergeCell ref="F77:G77"/>
    <mergeCell ref="H77:H78"/>
    <mergeCell ref="A64:L64"/>
    <mergeCell ref="A65:A66"/>
    <mergeCell ref="B65:C65"/>
    <mergeCell ref="D65:E65"/>
    <mergeCell ref="F65:G65"/>
    <mergeCell ref="H65:H66"/>
    <mergeCell ref="I65:J65"/>
    <mergeCell ref="I2:J2"/>
    <mergeCell ref="K2:L2"/>
    <mergeCell ref="A9:L9"/>
    <mergeCell ref="A20:L20"/>
    <mergeCell ref="A2:A3"/>
    <mergeCell ref="B2:C2"/>
    <mergeCell ref="D2:E2"/>
    <mergeCell ref="F2:G2"/>
    <mergeCell ref="H2:H3"/>
    <mergeCell ref="I10:J10"/>
    <mergeCell ref="K10:L10"/>
    <mergeCell ref="A10:A11"/>
    <mergeCell ref="B10:C10"/>
    <mergeCell ref="D10:E10"/>
    <mergeCell ref="F10:G10"/>
    <mergeCell ref="H10:H11"/>
    <mergeCell ref="I34:J34"/>
    <mergeCell ref="K34:L34"/>
    <mergeCell ref="A21:A22"/>
    <mergeCell ref="B21:C21"/>
    <mergeCell ref="D21:E21"/>
    <mergeCell ref="F21:G21"/>
    <mergeCell ref="H21:H22"/>
    <mergeCell ref="A34:A35"/>
    <mergeCell ref="B34:C34"/>
    <mergeCell ref="D34:E34"/>
    <mergeCell ref="F34:G34"/>
    <mergeCell ref="H34:H35"/>
    <mergeCell ref="I21:J21"/>
    <mergeCell ref="K21:L21"/>
    <mergeCell ref="A33:L33"/>
    <mergeCell ref="A90:O90"/>
    <mergeCell ref="A91:A92"/>
    <mergeCell ref="B91:C91"/>
    <mergeCell ref="D91:E91"/>
    <mergeCell ref="F91:G91"/>
    <mergeCell ref="H91:H92"/>
    <mergeCell ref="I91:J91"/>
    <mergeCell ref="K91:L91"/>
    <mergeCell ref="M91:N91"/>
    <mergeCell ref="A103:L103"/>
    <mergeCell ref="A104:A105"/>
    <mergeCell ref="B104:C104"/>
    <mergeCell ref="D104:E104"/>
    <mergeCell ref="F104:G104"/>
    <mergeCell ref="H104:H105"/>
    <mergeCell ref="I104:J104"/>
    <mergeCell ref="K104:L104"/>
    <mergeCell ref="A116:P116"/>
    <mergeCell ref="P162:P163"/>
    <mergeCell ref="P118:P119"/>
    <mergeCell ref="A130:R130"/>
    <mergeCell ref="A132:A133"/>
    <mergeCell ref="B132:B133"/>
    <mergeCell ref="C132:D132"/>
    <mergeCell ref="E132:F132"/>
    <mergeCell ref="G132:H132"/>
    <mergeCell ref="I132:J132"/>
    <mergeCell ref="K132:K133"/>
    <mergeCell ref="L132:M132"/>
    <mergeCell ref="N132:O132"/>
    <mergeCell ref="P132:Q132"/>
    <mergeCell ref="R132:R133"/>
    <mergeCell ref="A118:A119"/>
    <mergeCell ref="B118:B119"/>
    <mergeCell ref="C118:D118"/>
    <mergeCell ref="E118:F118"/>
    <mergeCell ref="G118:H118"/>
    <mergeCell ref="I118:I119"/>
    <mergeCell ref="J118:K118"/>
    <mergeCell ref="L118:M118"/>
    <mergeCell ref="N118:O118"/>
    <mergeCell ref="A146:P146"/>
    <mergeCell ref="N179:N180"/>
    <mergeCell ref="O179:O180"/>
    <mergeCell ref="A196:O196"/>
    <mergeCell ref="A178:M178"/>
    <mergeCell ref="A179:A180"/>
    <mergeCell ref="B179:B180"/>
    <mergeCell ref="C179:D179"/>
    <mergeCell ref="E179:F179"/>
    <mergeCell ref="G179:H179"/>
    <mergeCell ref="I179:I180"/>
    <mergeCell ref="J179:K179"/>
    <mergeCell ref="L179:M179"/>
  </mergeCells>
  <pageMargins left="0.7" right="0.7" top="0.75" bottom="0.75" header="0.3" footer="0.3"/>
  <pageSetup paperSize="9" scale="85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opLeftCell="A19" workbookViewId="0">
      <selection activeCell="F26" sqref="F26:G26"/>
    </sheetView>
  </sheetViews>
  <sheetFormatPr baseColWidth="10" defaultRowHeight="15" x14ac:dyDescent="0.25"/>
  <cols>
    <col min="1" max="1" width="11.5703125" style="39" customWidth="1"/>
    <col min="2" max="2" width="10.5703125" style="39" bestFit="1" customWidth="1"/>
    <col min="3" max="5" width="8" style="39" customWidth="1"/>
    <col min="6" max="6" width="11.28515625" style="39" customWidth="1"/>
    <col min="7" max="7" width="9.85546875" style="39" customWidth="1"/>
    <col min="8" max="8" width="9.5703125" style="39" customWidth="1"/>
    <col min="9" max="9" width="14.85546875" style="39" customWidth="1"/>
    <col min="10" max="10" width="15" style="39" customWidth="1"/>
    <col min="11" max="12" width="8" style="39" customWidth="1"/>
    <col min="13" max="13" width="7.140625" style="39" customWidth="1"/>
    <col min="14" max="14" width="8.28515625" style="39" customWidth="1"/>
    <col min="15" max="15" width="7" style="39" customWidth="1"/>
    <col min="16" max="16" width="6.5703125" style="39" bestFit="1" customWidth="1"/>
  </cols>
  <sheetData>
    <row r="1" spans="1:16" ht="22.5" customHeight="1" x14ac:dyDescent="0.25">
      <c r="A1" s="140" t="s">
        <v>54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 ht="22.5" customHeight="1" x14ac:dyDescent="0.25">
      <c r="A2" s="150" t="s">
        <v>47</v>
      </c>
      <c r="B2" s="140" t="s">
        <v>45</v>
      </c>
      <c r="C2" s="140"/>
      <c r="D2" s="148"/>
      <c r="E2" s="147" t="s">
        <v>46</v>
      </c>
      <c r="F2" s="147"/>
      <c r="G2" s="147"/>
      <c r="H2" s="147"/>
      <c r="I2" s="147"/>
      <c r="J2" s="147"/>
      <c r="K2" s="147"/>
      <c r="L2" s="147" t="s">
        <v>71</v>
      </c>
      <c r="M2" s="147" t="s">
        <v>70</v>
      </c>
      <c r="N2" s="147" t="s">
        <v>69</v>
      </c>
      <c r="O2" s="145" t="s">
        <v>37</v>
      </c>
      <c r="P2" s="145" t="s">
        <v>16</v>
      </c>
    </row>
    <row r="3" spans="1:16" ht="22.5" customHeight="1" x14ac:dyDescent="0.25">
      <c r="A3" s="151"/>
      <c r="B3" s="40" t="s">
        <v>28</v>
      </c>
      <c r="C3" s="37" t="s">
        <v>29</v>
      </c>
      <c r="D3" s="37" t="s">
        <v>30</v>
      </c>
      <c r="E3" s="37" t="s">
        <v>31</v>
      </c>
      <c r="F3" s="37" t="s">
        <v>32</v>
      </c>
      <c r="G3" s="37" t="s">
        <v>33</v>
      </c>
      <c r="H3" s="37" t="s">
        <v>34</v>
      </c>
      <c r="I3" s="80" t="s">
        <v>92</v>
      </c>
      <c r="J3" s="41" t="s">
        <v>36</v>
      </c>
      <c r="K3" s="37" t="s">
        <v>35</v>
      </c>
      <c r="L3" s="147"/>
      <c r="M3" s="147"/>
      <c r="N3" s="147"/>
      <c r="O3" s="146"/>
      <c r="P3" s="146"/>
    </row>
    <row r="4" spans="1:16" ht="19.5" customHeight="1" x14ac:dyDescent="0.25">
      <c r="A4" s="42" t="s">
        <v>22</v>
      </c>
      <c r="B4" s="37">
        <v>1</v>
      </c>
      <c r="C4" s="37">
        <v>1</v>
      </c>
      <c r="D4" s="37">
        <v>1</v>
      </c>
      <c r="E4" s="37">
        <v>1</v>
      </c>
      <c r="F4" s="37">
        <v>1</v>
      </c>
      <c r="G4" s="37">
        <v>1</v>
      </c>
      <c r="H4" s="37">
        <v>0</v>
      </c>
      <c r="I4" s="37">
        <v>0</v>
      </c>
      <c r="J4" s="37">
        <v>0</v>
      </c>
      <c r="K4" s="37">
        <v>1</v>
      </c>
      <c r="L4" s="37"/>
      <c r="M4" s="37"/>
      <c r="N4" s="37"/>
      <c r="O4" s="42">
        <v>1</v>
      </c>
      <c r="P4" s="42">
        <f t="shared" ref="P4:P16" si="0">SUM(B4:O4)</f>
        <v>8</v>
      </c>
    </row>
    <row r="5" spans="1:16" ht="19.5" customHeight="1" x14ac:dyDescent="0.25">
      <c r="A5" s="37" t="s">
        <v>38</v>
      </c>
      <c r="B5" s="37">
        <v>1</v>
      </c>
      <c r="C5" s="37">
        <v>1</v>
      </c>
      <c r="D5" s="37">
        <v>1</v>
      </c>
      <c r="E5" s="37">
        <v>1</v>
      </c>
      <c r="F5" s="37">
        <v>2</v>
      </c>
      <c r="G5" s="37">
        <v>1</v>
      </c>
      <c r="H5" s="37">
        <v>1</v>
      </c>
      <c r="I5" s="37">
        <v>0</v>
      </c>
      <c r="J5" s="37">
        <v>0</v>
      </c>
      <c r="K5" s="37">
        <v>2</v>
      </c>
      <c r="L5" s="37"/>
      <c r="M5" s="37"/>
      <c r="N5" s="37"/>
      <c r="O5" s="37">
        <v>1</v>
      </c>
      <c r="P5" s="37">
        <f t="shared" si="0"/>
        <v>11</v>
      </c>
    </row>
    <row r="6" spans="1:16" ht="19.5" customHeight="1" x14ac:dyDescent="0.25">
      <c r="A6" s="37" t="s">
        <v>39</v>
      </c>
      <c r="B6" s="37">
        <v>1</v>
      </c>
      <c r="C6" s="37">
        <v>1</v>
      </c>
      <c r="D6" s="37">
        <v>1</v>
      </c>
      <c r="E6" s="37">
        <v>1</v>
      </c>
      <c r="F6" s="37">
        <v>2</v>
      </c>
      <c r="G6" s="37">
        <v>1</v>
      </c>
      <c r="H6" s="37">
        <v>1</v>
      </c>
      <c r="I6" s="37">
        <v>0</v>
      </c>
      <c r="J6" s="37">
        <v>1</v>
      </c>
      <c r="K6" s="37">
        <v>2</v>
      </c>
      <c r="L6" s="37"/>
      <c r="M6" s="37"/>
      <c r="N6" s="37"/>
      <c r="O6" s="37">
        <v>0</v>
      </c>
      <c r="P6" s="37">
        <f t="shared" si="0"/>
        <v>11</v>
      </c>
    </row>
    <row r="7" spans="1:16" ht="19.5" customHeight="1" x14ac:dyDescent="0.25">
      <c r="A7" s="37" t="s">
        <v>40</v>
      </c>
      <c r="B7" s="37">
        <v>3</v>
      </c>
      <c r="C7" s="37">
        <v>2</v>
      </c>
      <c r="D7" s="37">
        <v>1</v>
      </c>
      <c r="E7" s="37">
        <v>1</v>
      </c>
      <c r="F7" s="37">
        <v>2</v>
      </c>
      <c r="G7" s="37">
        <v>1</v>
      </c>
      <c r="H7" s="37">
        <v>1</v>
      </c>
      <c r="I7" s="37">
        <v>0</v>
      </c>
      <c r="J7" s="37">
        <v>1</v>
      </c>
      <c r="K7" s="37">
        <v>3</v>
      </c>
      <c r="L7" s="37"/>
      <c r="M7" s="37"/>
      <c r="N7" s="37"/>
      <c r="O7" s="37">
        <v>1</v>
      </c>
      <c r="P7" s="37">
        <f t="shared" si="0"/>
        <v>16</v>
      </c>
    </row>
    <row r="8" spans="1:16" ht="19.5" customHeight="1" x14ac:dyDescent="0.25">
      <c r="A8" s="37" t="s">
        <v>41</v>
      </c>
      <c r="B8" s="37">
        <v>3</v>
      </c>
      <c r="C8" s="37">
        <v>2</v>
      </c>
      <c r="D8" s="37">
        <v>1</v>
      </c>
      <c r="E8" s="37">
        <v>1</v>
      </c>
      <c r="F8" s="37">
        <v>1</v>
      </c>
      <c r="G8" s="37">
        <v>1</v>
      </c>
      <c r="H8" s="37">
        <v>1</v>
      </c>
      <c r="I8" s="37">
        <v>0</v>
      </c>
      <c r="J8" s="37">
        <v>2</v>
      </c>
      <c r="K8" s="37">
        <v>2</v>
      </c>
      <c r="L8" s="37"/>
      <c r="M8" s="37"/>
      <c r="N8" s="37"/>
      <c r="O8" s="37">
        <v>1</v>
      </c>
      <c r="P8" s="37">
        <f t="shared" si="0"/>
        <v>15</v>
      </c>
    </row>
    <row r="9" spans="1:16" ht="19.5" customHeight="1" x14ac:dyDescent="0.25">
      <c r="A9" s="37" t="s">
        <v>42</v>
      </c>
      <c r="B9" s="37">
        <v>2</v>
      </c>
      <c r="C9" s="37">
        <v>3</v>
      </c>
      <c r="D9" s="37">
        <v>1</v>
      </c>
      <c r="E9" s="37">
        <v>1</v>
      </c>
      <c r="F9" s="37">
        <v>2</v>
      </c>
      <c r="G9" s="37">
        <v>1</v>
      </c>
      <c r="H9" s="37">
        <v>1</v>
      </c>
      <c r="I9" s="37">
        <v>0</v>
      </c>
      <c r="J9" s="37">
        <v>1</v>
      </c>
      <c r="K9" s="37">
        <v>2</v>
      </c>
      <c r="L9" s="37"/>
      <c r="M9" s="37"/>
      <c r="N9" s="37"/>
      <c r="O9" s="37">
        <v>1</v>
      </c>
      <c r="P9" s="37">
        <f t="shared" si="0"/>
        <v>15</v>
      </c>
    </row>
    <row r="10" spans="1:16" ht="19.5" customHeight="1" x14ac:dyDescent="0.25">
      <c r="A10" s="37" t="s">
        <v>43</v>
      </c>
      <c r="B10" s="37">
        <v>3</v>
      </c>
      <c r="C10" s="37">
        <v>4</v>
      </c>
      <c r="D10" s="37">
        <v>2</v>
      </c>
      <c r="E10" s="37">
        <v>2</v>
      </c>
      <c r="F10" s="37">
        <v>2</v>
      </c>
      <c r="G10" s="37">
        <v>2</v>
      </c>
      <c r="H10" s="37">
        <v>1</v>
      </c>
      <c r="I10" s="37">
        <v>0</v>
      </c>
      <c r="J10" s="37">
        <v>1</v>
      </c>
      <c r="K10" s="37">
        <v>3</v>
      </c>
      <c r="L10" s="37"/>
      <c r="M10" s="37"/>
      <c r="N10" s="37"/>
      <c r="O10" s="37">
        <v>1</v>
      </c>
      <c r="P10" s="37">
        <f t="shared" si="0"/>
        <v>21</v>
      </c>
    </row>
    <row r="11" spans="1:16" ht="19.5" customHeight="1" x14ac:dyDescent="0.25">
      <c r="A11" s="37" t="s">
        <v>44</v>
      </c>
      <c r="B11" s="37">
        <v>4</v>
      </c>
      <c r="C11" s="37">
        <v>5</v>
      </c>
      <c r="D11" s="37">
        <v>2</v>
      </c>
      <c r="E11" s="37">
        <v>2</v>
      </c>
      <c r="F11" s="37">
        <v>3</v>
      </c>
      <c r="G11" s="37">
        <v>2</v>
      </c>
      <c r="H11" s="37">
        <v>1</v>
      </c>
      <c r="I11" s="37">
        <v>1</v>
      </c>
      <c r="J11" s="37">
        <v>1</v>
      </c>
      <c r="K11" s="37">
        <v>3</v>
      </c>
      <c r="L11" s="37"/>
      <c r="M11" s="37"/>
      <c r="N11" s="37"/>
      <c r="O11" s="37">
        <v>1</v>
      </c>
      <c r="P11" s="37">
        <f t="shared" si="0"/>
        <v>25</v>
      </c>
    </row>
    <row r="12" spans="1:16" ht="19.5" customHeight="1" x14ac:dyDescent="0.25">
      <c r="A12" s="37" t="s">
        <v>56</v>
      </c>
      <c r="B12" s="37">
        <v>4</v>
      </c>
      <c r="C12" s="37">
        <v>5</v>
      </c>
      <c r="D12" s="37">
        <v>2</v>
      </c>
      <c r="E12" s="37">
        <v>2</v>
      </c>
      <c r="F12" s="37">
        <v>3</v>
      </c>
      <c r="G12" s="37">
        <v>3</v>
      </c>
      <c r="H12" s="37">
        <v>1</v>
      </c>
      <c r="I12" s="37">
        <v>0</v>
      </c>
      <c r="J12" s="37">
        <v>1</v>
      </c>
      <c r="K12" s="37">
        <v>3</v>
      </c>
      <c r="L12" s="37">
        <v>1</v>
      </c>
      <c r="M12" s="37">
        <v>1</v>
      </c>
      <c r="N12" s="37">
        <v>1</v>
      </c>
      <c r="O12" s="37">
        <v>1</v>
      </c>
      <c r="P12" s="37">
        <f t="shared" si="0"/>
        <v>28</v>
      </c>
    </row>
    <row r="13" spans="1:16" ht="19.5" customHeight="1" x14ac:dyDescent="0.25">
      <c r="A13" s="37" t="s">
        <v>67</v>
      </c>
      <c r="B13" s="37">
        <v>5</v>
      </c>
      <c r="C13" s="37">
        <v>3</v>
      </c>
      <c r="D13" s="37">
        <v>3</v>
      </c>
      <c r="E13" s="37">
        <v>2</v>
      </c>
      <c r="F13" s="37">
        <v>3</v>
      </c>
      <c r="G13" s="37">
        <v>1</v>
      </c>
      <c r="H13" s="37">
        <v>1</v>
      </c>
      <c r="I13" s="37">
        <v>0</v>
      </c>
      <c r="J13" s="37">
        <v>1</v>
      </c>
      <c r="K13" s="37">
        <v>4</v>
      </c>
      <c r="L13" s="37">
        <v>1</v>
      </c>
      <c r="M13" s="37">
        <v>1</v>
      </c>
      <c r="N13" s="37">
        <v>1</v>
      </c>
      <c r="O13" s="37">
        <v>1</v>
      </c>
      <c r="P13" s="37">
        <f t="shared" si="0"/>
        <v>27</v>
      </c>
    </row>
    <row r="14" spans="1:16" ht="19.5" customHeight="1" x14ac:dyDescent="0.25">
      <c r="A14" s="37" t="s">
        <v>68</v>
      </c>
      <c r="B14" s="37">
        <v>6</v>
      </c>
      <c r="C14" s="37">
        <v>4</v>
      </c>
      <c r="D14" s="37">
        <v>2</v>
      </c>
      <c r="E14" s="37">
        <v>2</v>
      </c>
      <c r="F14" s="37">
        <v>3</v>
      </c>
      <c r="G14" s="37">
        <v>1</v>
      </c>
      <c r="H14" s="37">
        <v>1</v>
      </c>
      <c r="I14" s="37">
        <v>0</v>
      </c>
      <c r="J14" s="37">
        <v>1</v>
      </c>
      <c r="K14" s="37">
        <v>4</v>
      </c>
      <c r="L14" s="37">
        <v>1</v>
      </c>
      <c r="M14" s="37">
        <v>1</v>
      </c>
      <c r="N14" s="37">
        <v>1</v>
      </c>
      <c r="O14" s="37">
        <v>1</v>
      </c>
      <c r="P14" s="37">
        <f t="shared" si="0"/>
        <v>28</v>
      </c>
    </row>
    <row r="15" spans="1:16" ht="22.5" customHeight="1" x14ac:dyDescent="0.25">
      <c r="A15" s="45" t="s">
        <v>83</v>
      </c>
      <c r="B15" s="45">
        <v>6</v>
      </c>
      <c r="C15" s="45">
        <v>5</v>
      </c>
      <c r="D15" s="45">
        <v>2</v>
      </c>
      <c r="E15" s="45">
        <v>2</v>
      </c>
      <c r="F15" s="45">
        <v>4</v>
      </c>
      <c r="G15" s="45">
        <v>4</v>
      </c>
      <c r="H15" s="45">
        <v>1</v>
      </c>
      <c r="I15" s="45">
        <v>0</v>
      </c>
      <c r="J15" s="45">
        <v>1</v>
      </c>
      <c r="K15" s="45">
        <v>4</v>
      </c>
      <c r="L15" s="45">
        <v>1</v>
      </c>
      <c r="M15" s="45">
        <v>1</v>
      </c>
      <c r="N15" s="45">
        <v>2</v>
      </c>
      <c r="O15" s="45">
        <v>1</v>
      </c>
      <c r="P15" s="45">
        <f t="shared" si="0"/>
        <v>34</v>
      </c>
    </row>
    <row r="16" spans="1:16" ht="22.5" customHeight="1" x14ac:dyDescent="0.25">
      <c r="A16" s="68" t="s">
        <v>91</v>
      </c>
      <c r="B16" s="68">
        <v>4</v>
      </c>
      <c r="C16" s="68">
        <v>4</v>
      </c>
      <c r="D16" s="68">
        <v>2</v>
      </c>
      <c r="E16" s="68">
        <v>2</v>
      </c>
      <c r="F16" s="68">
        <v>2</v>
      </c>
      <c r="G16" s="68">
        <v>3</v>
      </c>
      <c r="H16" s="68">
        <v>0</v>
      </c>
      <c r="I16" s="68">
        <v>2</v>
      </c>
      <c r="J16" s="68">
        <v>1</v>
      </c>
      <c r="K16" s="68">
        <v>3</v>
      </c>
      <c r="L16" s="68">
        <v>1</v>
      </c>
      <c r="M16" s="68">
        <v>2</v>
      </c>
      <c r="N16" s="68">
        <v>2</v>
      </c>
      <c r="O16" s="68">
        <v>1</v>
      </c>
      <c r="P16" s="68">
        <f t="shared" si="0"/>
        <v>29</v>
      </c>
    </row>
    <row r="17" spans="1:17" ht="22.5" customHeight="1" x14ac:dyDescent="0.25">
      <c r="A17" s="84" t="s">
        <v>96</v>
      </c>
      <c r="B17" s="80">
        <v>3</v>
      </c>
      <c r="C17" s="80">
        <v>4</v>
      </c>
      <c r="D17" s="80">
        <v>2</v>
      </c>
      <c r="E17" s="80">
        <v>3</v>
      </c>
      <c r="F17" s="80">
        <v>2</v>
      </c>
      <c r="G17" s="80">
        <v>3</v>
      </c>
      <c r="H17" s="80">
        <v>0</v>
      </c>
      <c r="I17" s="80">
        <v>2</v>
      </c>
      <c r="J17" s="80">
        <v>1</v>
      </c>
      <c r="K17" s="80">
        <v>3</v>
      </c>
      <c r="L17" s="80">
        <v>1</v>
      </c>
      <c r="M17" s="80">
        <v>1</v>
      </c>
      <c r="N17" s="80">
        <v>3</v>
      </c>
      <c r="O17" s="80">
        <v>1</v>
      </c>
      <c r="P17" s="80">
        <f t="shared" ref="P17" si="1">SUM(B17:O17)</f>
        <v>29</v>
      </c>
    </row>
    <row r="18" spans="1:17" ht="22.5" customHeight="1" x14ac:dyDescent="0.25">
      <c r="A18" s="149" t="s">
        <v>55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</row>
    <row r="19" spans="1:17" s="33" customFormat="1" ht="39.75" customHeight="1" x14ac:dyDescent="0.25">
      <c r="A19" s="30" t="s">
        <v>47</v>
      </c>
      <c r="B19" s="31" t="s">
        <v>48</v>
      </c>
      <c r="C19" s="143" t="s">
        <v>57</v>
      </c>
      <c r="D19" s="144"/>
      <c r="E19" s="31" t="s">
        <v>49</v>
      </c>
      <c r="F19" s="30" t="s">
        <v>66</v>
      </c>
      <c r="G19" s="30" t="s">
        <v>65</v>
      </c>
      <c r="H19" s="31" t="s">
        <v>50</v>
      </c>
      <c r="I19" s="30" t="s">
        <v>95</v>
      </c>
      <c r="J19" s="30" t="s">
        <v>93</v>
      </c>
      <c r="K19" s="30" t="s">
        <v>94</v>
      </c>
      <c r="L19" s="31" t="s">
        <v>51</v>
      </c>
      <c r="M19" s="152" t="s">
        <v>52</v>
      </c>
      <c r="N19" s="153"/>
      <c r="O19" s="32" t="s">
        <v>53</v>
      </c>
      <c r="P19" s="43"/>
      <c r="Q19" s="43"/>
    </row>
    <row r="20" spans="1:17" ht="19.5" customHeight="1" x14ac:dyDescent="0.25">
      <c r="A20" s="42" t="s">
        <v>22</v>
      </c>
      <c r="B20" s="37">
        <v>1</v>
      </c>
      <c r="C20" s="141">
        <v>0</v>
      </c>
      <c r="D20" s="142"/>
      <c r="E20" s="37">
        <v>0</v>
      </c>
      <c r="F20" s="90">
        <v>1</v>
      </c>
      <c r="G20" s="92"/>
      <c r="H20" s="37">
        <v>1</v>
      </c>
      <c r="I20" s="80">
        <v>0</v>
      </c>
      <c r="J20" s="37">
        <v>0</v>
      </c>
      <c r="K20" s="37">
        <v>0</v>
      </c>
      <c r="L20" s="37">
        <v>1</v>
      </c>
      <c r="M20" s="90">
        <v>0</v>
      </c>
      <c r="N20" s="92"/>
      <c r="O20" s="37">
        <f t="shared" ref="O20:O33" si="2">SUM(B20:N20)</f>
        <v>4</v>
      </c>
      <c r="Q20" s="39"/>
    </row>
    <row r="21" spans="1:17" ht="19.5" customHeight="1" x14ac:dyDescent="0.25">
      <c r="A21" s="37" t="s">
        <v>38</v>
      </c>
      <c r="B21" s="37">
        <v>1</v>
      </c>
      <c r="C21" s="141">
        <v>0</v>
      </c>
      <c r="D21" s="142"/>
      <c r="E21" s="37">
        <v>0</v>
      </c>
      <c r="F21" s="90">
        <v>1</v>
      </c>
      <c r="G21" s="92"/>
      <c r="H21" s="37">
        <v>1</v>
      </c>
      <c r="I21" s="80">
        <v>0</v>
      </c>
      <c r="J21" s="37">
        <v>0</v>
      </c>
      <c r="K21" s="37">
        <v>0</v>
      </c>
      <c r="L21" s="37">
        <v>1</v>
      </c>
      <c r="M21" s="90">
        <v>0</v>
      </c>
      <c r="N21" s="92"/>
      <c r="O21" s="44">
        <f t="shared" si="2"/>
        <v>4</v>
      </c>
      <c r="Q21" s="39"/>
    </row>
    <row r="22" spans="1:17" ht="19.5" customHeight="1" x14ac:dyDescent="0.25">
      <c r="A22" s="37" t="s">
        <v>39</v>
      </c>
      <c r="B22" s="37">
        <v>1</v>
      </c>
      <c r="C22" s="141">
        <v>0</v>
      </c>
      <c r="D22" s="142"/>
      <c r="E22" s="37">
        <v>1</v>
      </c>
      <c r="F22" s="90">
        <v>1</v>
      </c>
      <c r="G22" s="92"/>
      <c r="H22" s="37">
        <v>1</v>
      </c>
      <c r="I22" s="80">
        <v>0</v>
      </c>
      <c r="J22" s="37">
        <v>0</v>
      </c>
      <c r="K22" s="37">
        <v>0</v>
      </c>
      <c r="L22" s="37">
        <v>1</v>
      </c>
      <c r="M22" s="90">
        <v>1</v>
      </c>
      <c r="N22" s="92"/>
      <c r="O22" s="44">
        <f t="shared" si="2"/>
        <v>6</v>
      </c>
      <c r="Q22" s="39"/>
    </row>
    <row r="23" spans="1:17" ht="19.5" customHeight="1" x14ac:dyDescent="0.25">
      <c r="A23" s="37" t="s">
        <v>40</v>
      </c>
      <c r="B23" s="37">
        <v>1</v>
      </c>
      <c r="C23" s="141">
        <v>0</v>
      </c>
      <c r="D23" s="142"/>
      <c r="E23" s="37">
        <v>1</v>
      </c>
      <c r="F23" s="90">
        <v>2</v>
      </c>
      <c r="G23" s="92"/>
      <c r="H23" s="37">
        <v>2</v>
      </c>
      <c r="I23" s="80">
        <v>0</v>
      </c>
      <c r="J23" s="37">
        <v>0</v>
      </c>
      <c r="K23" s="37">
        <v>0</v>
      </c>
      <c r="L23" s="37">
        <v>1</v>
      </c>
      <c r="M23" s="90">
        <v>1</v>
      </c>
      <c r="N23" s="92"/>
      <c r="O23" s="44">
        <f t="shared" si="2"/>
        <v>8</v>
      </c>
      <c r="Q23" s="39"/>
    </row>
    <row r="24" spans="1:17" ht="19.5" customHeight="1" x14ac:dyDescent="0.25">
      <c r="A24" s="37" t="s">
        <v>41</v>
      </c>
      <c r="B24" s="37">
        <v>1</v>
      </c>
      <c r="C24" s="141">
        <v>0</v>
      </c>
      <c r="D24" s="142"/>
      <c r="E24" s="37">
        <v>1</v>
      </c>
      <c r="F24" s="90">
        <v>2</v>
      </c>
      <c r="G24" s="92"/>
      <c r="H24" s="37">
        <v>2</v>
      </c>
      <c r="I24" s="80">
        <v>0</v>
      </c>
      <c r="J24" s="37">
        <v>0</v>
      </c>
      <c r="K24" s="37">
        <v>0</v>
      </c>
      <c r="L24" s="37">
        <v>1</v>
      </c>
      <c r="M24" s="90">
        <v>1</v>
      </c>
      <c r="N24" s="92"/>
      <c r="O24" s="44">
        <f t="shared" si="2"/>
        <v>8</v>
      </c>
      <c r="Q24" s="39"/>
    </row>
    <row r="25" spans="1:17" ht="19.5" customHeight="1" x14ac:dyDescent="0.25">
      <c r="A25" s="37" t="s">
        <v>42</v>
      </c>
      <c r="B25" s="37">
        <v>1</v>
      </c>
      <c r="C25" s="141">
        <v>0</v>
      </c>
      <c r="D25" s="142"/>
      <c r="E25" s="37">
        <v>0</v>
      </c>
      <c r="F25" s="90">
        <v>2</v>
      </c>
      <c r="G25" s="92"/>
      <c r="H25" s="37">
        <v>2</v>
      </c>
      <c r="I25" s="80">
        <v>0</v>
      </c>
      <c r="J25" s="37">
        <v>0</v>
      </c>
      <c r="K25" s="37">
        <v>0</v>
      </c>
      <c r="L25" s="37">
        <v>1</v>
      </c>
      <c r="M25" s="90">
        <v>1</v>
      </c>
      <c r="N25" s="92"/>
      <c r="O25" s="44">
        <f t="shared" si="2"/>
        <v>7</v>
      </c>
      <c r="Q25" s="39"/>
    </row>
    <row r="26" spans="1:17" ht="19.5" customHeight="1" x14ac:dyDescent="0.25">
      <c r="A26" s="37" t="s">
        <v>43</v>
      </c>
      <c r="B26" s="37">
        <v>1</v>
      </c>
      <c r="C26" s="141">
        <v>0</v>
      </c>
      <c r="D26" s="142"/>
      <c r="E26" s="37">
        <v>1</v>
      </c>
      <c r="F26" s="90">
        <v>2</v>
      </c>
      <c r="G26" s="92"/>
      <c r="H26" s="37">
        <v>2</v>
      </c>
      <c r="I26" s="80">
        <v>1</v>
      </c>
      <c r="J26" s="37">
        <v>1</v>
      </c>
      <c r="K26" s="37">
        <v>1</v>
      </c>
      <c r="L26" s="37">
        <v>1</v>
      </c>
      <c r="M26" s="90">
        <v>1</v>
      </c>
      <c r="N26" s="92"/>
      <c r="O26" s="44">
        <f t="shared" si="2"/>
        <v>11</v>
      </c>
      <c r="Q26" s="39"/>
    </row>
    <row r="27" spans="1:17" ht="19.5" customHeight="1" x14ac:dyDescent="0.25">
      <c r="A27" s="37" t="s">
        <v>44</v>
      </c>
      <c r="B27" s="37">
        <v>1</v>
      </c>
      <c r="C27" s="141">
        <v>0</v>
      </c>
      <c r="D27" s="142"/>
      <c r="E27" s="37">
        <v>1</v>
      </c>
      <c r="F27" s="90">
        <v>2</v>
      </c>
      <c r="G27" s="92"/>
      <c r="H27" s="37">
        <v>0</v>
      </c>
      <c r="I27" s="80">
        <v>1</v>
      </c>
      <c r="J27" s="37">
        <v>1</v>
      </c>
      <c r="K27" s="37">
        <v>1</v>
      </c>
      <c r="L27" s="37">
        <v>1</v>
      </c>
      <c r="M27" s="90">
        <v>1</v>
      </c>
      <c r="N27" s="92"/>
      <c r="O27" s="44">
        <f t="shared" si="2"/>
        <v>9</v>
      </c>
      <c r="Q27" s="39"/>
    </row>
    <row r="28" spans="1:17" s="8" customFormat="1" ht="19.5" customHeight="1" x14ac:dyDescent="0.25">
      <c r="A28" s="38" t="s">
        <v>56</v>
      </c>
      <c r="B28" s="37">
        <v>1</v>
      </c>
      <c r="C28" s="141">
        <v>1</v>
      </c>
      <c r="D28" s="142"/>
      <c r="E28" s="37">
        <v>1</v>
      </c>
      <c r="F28" s="37">
        <v>2</v>
      </c>
      <c r="G28" s="37">
        <v>1</v>
      </c>
      <c r="H28" s="37">
        <v>0</v>
      </c>
      <c r="I28" s="80">
        <v>1</v>
      </c>
      <c r="J28" s="37">
        <v>1</v>
      </c>
      <c r="K28" s="37">
        <v>1</v>
      </c>
      <c r="L28" s="37">
        <v>1</v>
      </c>
      <c r="M28" s="90">
        <v>1</v>
      </c>
      <c r="N28" s="92"/>
      <c r="O28" s="44">
        <f t="shared" si="2"/>
        <v>11</v>
      </c>
      <c r="P28" s="39"/>
      <c r="Q28" s="39"/>
    </row>
    <row r="29" spans="1:17" ht="19.5" customHeight="1" x14ac:dyDescent="0.25">
      <c r="A29" s="38" t="s">
        <v>67</v>
      </c>
      <c r="B29" s="38">
        <v>1</v>
      </c>
      <c r="C29" s="147">
        <v>1</v>
      </c>
      <c r="D29" s="147"/>
      <c r="E29" s="38">
        <v>1</v>
      </c>
      <c r="F29" s="37">
        <v>1</v>
      </c>
      <c r="G29" s="37">
        <v>1</v>
      </c>
      <c r="H29" s="38">
        <v>1</v>
      </c>
      <c r="I29" s="80">
        <v>1</v>
      </c>
      <c r="J29" s="38">
        <v>1</v>
      </c>
      <c r="K29" s="38">
        <v>1</v>
      </c>
      <c r="L29" s="38">
        <v>1</v>
      </c>
      <c r="M29" s="154">
        <v>0</v>
      </c>
      <c r="N29" s="155"/>
      <c r="O29" s="44">
        <f t="shared" si="2"/>
        <v>10</v>
      </c>
      <c r="Q29" s="39"/>
    </row>
    <row r="30" spans="1:17" ht="19.5" customHeight="1" x14ac:dyDescent="0.25">
      <c r="A30" s="38" t="s">
        <v>68</v>
      </c>
      <c r="B30" s="38">
        <v>1</v>
      </c>
      <c r="C30" s="147">
        <v>1</v>
      </c>
      <c r="D30" s="147"/>
      <c r="E30" s="38">
        <v>1</v>
      </c>
      <c r="F30" s="37">
        <v>1</v>
      </c>
      <c r="G30" s="37">
        <v>2</v>
      </c>
      <c r="H30" s="38">
        <v>1</v>
      </c>
      <c r="I30" s="80">
        <v>1</v>
      </c>
      <c r="J30" s="38">
        <v>1</v>
      </c>
      <c r="K30" s="38">
        <v>1</v>
      </c>
      <c r="L30" s="38">
        <v>1</v>
      </c>
      <c r="M30" s="154">
        <v>1</v>
      </c>
      <c r="N30" s="155"/>
      <c r="O30" s="44">
        <f t="shared" si="2"/>
        <v>12</v>
      </c>
      <c r="Q30" s="39"/>
    </row>
    <row r="31" spans="1:17" x14ac:dyDescent="0.25">
      <c r="A31" s="45" t="s">
        <v>83</v>
      </c>
      <c r="B31" s="68">
        <v>1</v>
      </c>
      <c r="C31" s="147">
        <v>1</v>
      </c>
      <c r="D31" s="147"/>
      <c r="E31" s="68">
        <v>1</v>
      </c>
      <c r="F31" s="68">
        <v>0</v>
      </c>
      <c r="G31" s="68">
        <v>2</v>
      </c>
      <c r="H31" s="68">
        <v>1</v>
      </c>
      <c r="I31" s="80">
        <v>1</v>
      </c>
      <c r="J31" s="68">
        <v>1</v>
      </c>
      <c r="K31" s="68">
        <v>1</v>
      </c>
      <c r="L31" s="68">
        <v>1</v>
      </c>
      <c r="M31" s="147">
        <v>1</v>
      </c>
      <c r="N31" s="147"/>
      <c r="O31" s="68">
        <f t="shared" si="2"/>
        <v>11</v>
      </c>
      <c r="Q31" s="39"/>
    </row>
    <row r="32" spans="1:17" x14ac:dyDescent="0.25">
      <c r="A32" s="68" t="s">
        <v>91</v>
      </c>
      <c r="B32" s="68">
        <v>1</v>
      </c>
      <c r="C32" s="147">
        <v>1</v>
      </c>
      <c r="D32" s="147"/>
      <c r="E32" s="68">
        <v>1</v>
      </c>
      <c r="F32" s="68">
        <v>0</v>
      </c>
      <c r="G32" s="68">
        <v>1</v>
      </c>
      <c r="H32" s="68">
        <v>1</v>
      </c>
      <c r="I32" s="80">
        <v>1</v>
      </c>
      <c r="J32" s="68">
        <v>1</v>
      </c>
      <c r="K32" s="68">
        <v>1</v>
      </c>
      <c r="L32" s="68">
        <v>1</v>
      </c>
      <c r="M32" s="147">
        <v>1</v>
      </c>
      <c r="N32" s="147"/>
      <c r="O32" s="68">
        <f t="shared" si="2"/>
        <v>10</v>
      </c>
      <c r="Q32" s="39"/>
    </row>
    <row r="33" spans="1:17" x14ac:dyDescent="0.25">
      <c r="A33" s="80" t="s">
        <v>96</v>
      </c>
      <c r="B33" s="80">
        <v>1</v>
      </c>
      <c r="C33" s="147">
        <v>1</v>
      </c>
      <c r="D33" s="147"/>
      <c r="E33" s="80">
        <v>1</v>
      </c>
      <c r="F33" s="80">
        <v>1</v>
      </c>
      <c r="G33" s="80">
        <v>1</v>
      </c>
      <c r="H33" s="80">
        <v>1</v>
      </c>
      <c r="I33" s="80">
        <v>1</v>
      </c>
      <c r="J33" s="80">
        <v>2</v>
      </c>
      <c r="K33" s="80">
        <v>1</v>
      </c>
      <c r="L33" s="80">
        <v>1</v>
      </c>
      <c r="M33" s="147">
        <v>1</v>
      </c>
      <c r="N33" s="147"/>
      <c r="O33" s="80">
        <f t="shared" si="2"/>
        <v>12</v>
      </c>
      <c r="Q33" s="39"/>
    </row>
  </sheetData>
  <mergeCells count="48">
    <mergeCell ref="C33:D33"/>
    <mergeCell ref="M33:N33"/>
    <mergeCell ref="C31:D31"/>
    <mergeCell ref="M31:N31"/>
    <mergeCell ref="C29:D29"/>
    <mergeCell ref="C30:D30"/>
    <mergeCell ref="M29:N29"/>
    <mergeCell ref="M30:N30"/>
    <mergeCell ref="C32:D32"/>
    <mergeCell ref="M32:N32"/>
    <mergeCell ref="M28:N28"/>
    <mergeCell ref="M19:N19"/>
    <mergeCell ref="M20:N20"/>
    <mergeCell ref="M21:N21"/>
    <mergeCell ref="M22:N22"/>
    <mergeCell ref="M23:N23"/>
    <mergeCell ref="F26:G26"/>
    <mergeCell ref="F27:G27"/>
    <mergeCell ref="B2:D2"/>
    <mergeCell ref="E2:K2"/>
    <mergeCell ref="A18:N18"/>
    <mergeCell ref="F21:G21"/>
    <mergeCell ref="A2:A3"/>
    <mergeCell ref="M24:N24"/>
    <mergeCell ref="M25:N25"/>
    <mergeCell ref="M26:N26"/>
    <mergeCell ref="M27:N27"/>
    <mergeCell ref="L2:L3"/>
    <mergeCell ref="M2:M3"/>
    <mergeCell ref="N2:N3"/>
    <mergeCell ref="F24:G24"/>
    <mergeCell ref="F25:G25"/>
    <mergeCell ref="A1:P1"/>
    <mergeCell ref="C28:D28"/>
    <mergeCell ref="C24:D24"/>
    <mergeCell ref="C25:D25"/>
    <mergeCell ref="C26:D26"/>
    <mergeCell ref="C27:D27"/>
    <mergeCell ref="F22:G22"/>
    <mergeCell ref="F23:G23"/>
    <mergeCell ref="C19:D19"/>
    <mergeCell ref="C20:D20"/>
    <mergeCell ref="C21:D21"/>
    <mergeCell ref="C22:D22"/>
    <mergeCell ref="C23:D23"/>
    <mergeCell ref="F20:G20"/>
    <mergeCell ref="O2:O3"/>
    <mergeCell ref="P2:P3"/>
  </mergeCells>
  <pageMargins left="0" right="0" top="0" bottom="0" header="0" footer="0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Situation élèves </vt:lpstr>
      <vt:lpstr>Effectif personnels 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MAHAZENGY</dc:creator>
  <cp:lastModifiedBy>LMZ</cp:lastModifiedBy>
  <cp:lastPrinted>2022-03-15T14:01:27Z</cp:lastPrinted>
  <dcterms:created xsi:type="dcterms:W3CDTF">2018-06-24T01:49:00Z</dcterms:created>
  <dcterms:modified xsi:type="dcterms:W3CDTF">2026-04-10T10:31:34Z</dcterms:modified>
</cp:coreProperties>
</file>